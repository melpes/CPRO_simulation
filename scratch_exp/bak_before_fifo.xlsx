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gTaehui\KG\keti\CPRO_조립공정\시뮬레이션\Package\docs\"/>
    </mc:Choice>
  </mc:AlternateContent>
  <xr:revisionPtr revIDLastSave="0" documentId="13_ncr:1_{8574E0B6-3023-4314-8C2A-986A65A805CE}" xr6:coauthVersionLast="47" xr6:coauthVersionMax="47" xr10:uidLastSave="{00000000-0000-0000-0000-000000000000}"/>
  <bookViews>
    <workbookView xWindow="-120" yWindow="-120" windowWidth="38640" windowHeight="21120" xr2:uid="{9684115A-5166-4755-8610-E9E07E5E8AA8}"/>
  </bookViews>
  <sheets>
    <sheet name="1) 설비·생산라인 무한가동" sheetId="1" r:id="rId1"/>
    <sheet name="2) PO납기일 기반 생산계획" sheetId="3" r:id="rId2"/>
    <sheet name="2-1) PO납기일 기반 생산계획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6" i="3" l="1"/>
  <c r="E45" i="3"/>
  <c r="Q13" i="2"/>
  <c r="AL157" i="3"/>
  <c r="AL156" i="3"/>
  <c r="AL155" i="3"/>
  <c r="AL154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36" i="3"/>
  <c r="AL135" i="3"/>
  <c r="AL134" i="3"/>
  <c r="AL133" i="3"/>
  <c r="AL132" i="3"/>
  <c r="AL131" i="3"/>
  <c r="AL130" i="3"/>
  <c r="AL129" i="3"/>
  <c r="AL128" i="3"/>
  <c r="AL127" i="3"/>
  <c r="AL126" i="3"/>
  <c r="AL125" i="3"/>
  <c r="AL124" i="3"/>
  <c r="AL123" i="3"/>
  <c r="AL122" i="3"/>
  <c r="AL121" i="3"/>
  <c r="AL120" i="3"/>
  <c r="AL119" i="3"/>
  <c r="AL118" i="3"/>
  <c r="AL117" i="3"/>
  <c r="AL116" i="3"/>
  <c r="AL115" i="3"/>
  <c r="AL114" i="3"/>
  <c r="AL113" i="3"/>
  <c r="AL112" i="3"/>
  <c r="AL111" i="3"/>
  <c r="AL110" i="3"/>
  <c r="AL109" i="3"/>
  <c r="AL108" i="3"/>
  <c r="AL107" i="3"/>
  <c r="AL106" i="3"/>
  <c r="AL105" i="3"/>
  <c r="AL104" i="3"/>
  <c r="AL103" i="3"/>
  <c r="AL102" i="3"/>
  <c r="AL101" i="3"/>
  <c r="AL100" i="3"/>
  <c r="AL99" i="3"/>
  <c r="AL98" i="3"/>
  <c r="AL97" i="3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Q6" i="2"/>
  <c r="Q7" i="2"/>
  <c r="Q8" i="2"/>
  <c r="Q9" i="2"/>
  <c r="Q10" i="2"/>
  <c r="Q11" i="2"/>
  <c r="Q12" i="2"/>
  <c r="Q5" i="2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" i="1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KangTaehui</author>
  </authors>
  <commentList>
    <comment ref="B34" authorId="0" shapeId="0" xr:uid="{4EB0BD8F-F1CB-46DD-AFA8-2FB52ECF9C2C}">
      <text>
        <r>
          <rPr>
            <sz val="9"/>
            <color indexed="81"/>
            <rFont val="돋움체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소모되는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전력량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KangTaehui</author>
  </authors>
  <commentList>
    <comment ref="C5" authorId="0" shapeId="0" xr:uid="{455623F4-063B-4BB4-82F6-7DD67ADC6C19}">
      <text>
        <r>
          <rPr>
            <sz val="9"/>
            <color indexed="81"/>
            <rFont val="Tahoma"/>
            <family val="2"/>
          </rPr>
          <t xml:space="preserve">CPRO </t>
        </r>
        <r>
          <rPr>
            <sz val="9"/>
            <color indexed="81"/>
            <rFont val="돋움체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추정값</t>
        </r>
      </text>
    </comment>
    <comment ref="B34" authorId="0" shapeId="0" xr:uid="{7CA2FEA8-4561-4C42-B785-ED12DA089A2B}">
      <text>
        <r>
          <rPr>
            <sz val="9"/>
            <color indexed="81"/>
            <rFont val="돋움체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소모되는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전력량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KangTaehui</author>
  </authors>
  <commentList>
    <comment ref="C5" authorId="0" shapeId="0" xr:uid="{07C00E84-E589-48B3-9387-14CC5CC16EFD}">
      <text>
        <r>
          <rPr>
            <sz val="9"/>
            <color indexed="81"/>
            <rFont val="Tahoma"/>
            <family val="2"/>
          </rPr>
          <t xml:space="preserve">CPRO </t>
        </r>
        <r>
          <rPr>
            <sz val="9"/>
            <color indexed="81"/>
            <rFont val="돋움체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추정값</t>
        </r>
      </text>
    </comment>
    <comment ref="T21" authorId="0" shapeId="0" xr:uid="{32933334-E60B-4F63-BEF9-2C58DC3557C7}">
      <text>
        <r>
          <rPr>
            <b/>
            <sz val="9"/>
            <color indexed="81"/>
            <rFont val="Tahoma"/>
            <family val="2"/>
          </rPr>
          <t>KangTaehui:</t>
        </r>
        <r>
          <rPr>
            <sz val="9"/>
            <color indexed="81"/>
            <rFont val="Tahoma"/>
            <family val="2"/>
          </rPr>
          <t xml:space="preserve">
Semi </t>
        </r>
        <r>
          <rPr>
            <sz val="9"/>
            <color indexed="81"/>
            <rFont val="돋움체"/>
            <family val="3"/>
            <charset val="129"/>
          </rPr>
          <t>작업자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체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체"/>
            <family val="3"/>
            <charset val="129"/>
          </rPr>
          <t>작업시간</t>
        </r>
        <r>
          <rPr>
            <sz val="9"/>
            <color indexed="81"/>
            <rFont val="Tahoma"/>
            <family val="2"/>
          </rPr>
          <t xml:space="preserve"> 8.59h</t>
        </r>
        <r>
          <rPr>
            <sz val="9"/>
            <color indexed="81"/>
            <rFont val="돋움체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유휴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체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초과로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이동</t>
        </r>
      </text>
    </comment>
    <comment ref="B35" authorId="0" shapeId="0" xr:uid="{5865A5BE-6524-469F-BF30-ED19DF913135}">
      <text>
        <r>
          <rPr>
            <sz val="9"/>
            <color indexed="81"/>
            <rFont val="돋움체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소모되는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시간당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전력량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<sst xmlns="http://schemas.openxmlformats.org/spreadsheetml/2006/main" count="304" uniqueCount="105">
  <si>
    <t>실험 세팅</t>
  </si>
  <si>
    <t>총생산량(대)</t>
  </si>
  <si>
    <t>작업시간(h)</t>
  </si>
  <si>
    <t>원점 기준 평균 기울기(생산성[대/h])</t>
    <phoneticPr fontId="5" type="noConversion"/>
  </si>
  <si>
    <t>납기일(d)</t>
  </si>
  <si>
    <t>Episode 종료 조건</t>
  </si>
  <si>
    <t>작업자 이동</t>
  </si>
  <si>
    <t>없음</t>
    <phoneticPr fontId="5" type="noConversion"/>
  </si>
  <si>
    <t>시뮬레이션 대상</t>
  </si>
  <si>
    <t>모델</t>
  </si>
  <si>
    <t>A, B, C</t>
  </si>
  <si>
    <t>KG 공정 노드</t>
  </si>
  <si>
    <t>99개</t>
  </si>
  <si>
    <t>SMT 라인</t>
  </si>
  <si>
    <t>Loader</t>
  </si>
  <si>
    <t>ScreenPrinter</t>
  </si>
  <si>
    <t>SPI</t>
  </si>
  <si>
    <t>Mounter</t>
  </si>
  <si>
    <t>Reflow</t>
  </si>
  <si>
    <t>Unloader</t>
  </si>
  <si>
    <t>AOI</t>
  </si>
  <si>
    <t>SMT 가동 방식</t>
  </si>
  <si>
    <t>라인</t>
  </si>
  <si>
    <t>인원</t>
  </si>
  <si>
    <t>해당 공정수</t>
  </si>
  <si>
    <t>FwInput</t>
  </si>
  <si>
    <t>LensHolder</t>
  </si>
  <si>
    <t>Focus</t>
  </si>
  <si>
    <t>SemiAssembly</t>
  </si>
  <si>
    <t>SetAssembly</t>
  </si>
  <si>
    <t>Inspection</t>
  </si>
  <si>
    <t>Aging</t>
  </si>
  <si>
    <t>OQC</t>
  </si>
  <si>
    <t>RMA</t>
  </si>
  <si>
    <t>Packaging</t>
  </si>
  <si>
    <t>전력</t>
  </si>
  <si>
    <t>FwInput</t>
    <phoneticPr fontId="5" type="noConversion"/>
  </si>
  <si>
    <t>LensHolder</t>
    <phoneticPr fontId="5" type="noConversion"/>
  </si>
  <si>
    <t>Focus</t>
    <phoneticPr fontId="5" type="noConversion"/>
  </si>
  <si>
    <t>Set-assembly</t>
    <phoneticPr fontId="5" type="noConversion"/>
  </si>
  <si>
    <t>Inspection</t>
    <phoneticPr fontId="5" type="noConversion"/>
  </si>
  <si>
    <t>SEMI</t>
    <phoneticPr fontId="5" type="noConversion"/>
  </si>
  <si>
    <t>총 작업시간[h]</t>
    <phoneticPr fontId="5" type="noConversion"/>
  </si>
  <si>
    <t>26.07.09</t>
    <phoneticPr fontId="5" type="noConversion"/>
  </si>
  <si>
    <t>재고 발주 고려</t>
    <phoneticPr fontId="5" type="noConversion"/>
  </si>
  <si>
    <t>없음(무한 재고)</t>
    <phoneticPr fontId="5" type="noConversion"/>
  </si>
  <si>
    <t>90부터 2430까지 90 단위로 증가, 3780
세 모델 1:1:1로 생산</t>
    <phoneticPr fontId="5" type="noConversion"/>
  </si>
  <si>
    <t>에피소드 별 제작 수량(PO)</t>
    <phoneticPr fontId="5" type="noConversion"/>
  </si>
  <si>
    <t>PO 전량 생산 시</t>
    <phoneticPr fontId="5" type="noConversion"/>
  </si>
  <si>
    <t>PO에 필요한 PCB만 생산, PCB 초기 재고 무한
(전력 사용량만 고려)</t>
    <phoneticPr fontId="5" type="noConversion"/>
  </si>
  <si>
    <t>기저부하량(h)</t>
    <phoneticPr fontId="5" type="noConversion"/>
  </si>
  <si>
    <t>540, 540, 540 (총 1620)</t>
    <phoneticPr fontId="5" type="noConversion"/>
  </si>
  <si>
    <t>샘플링 주기</t>
    <phoneticPr fontId="5" type="noConversion"/>
  </si>
  <si>
    <t>근무 시간</t>
    <phoneticPr fontId="5" type="noConversion"/>
  </si>
  <si>
    <t>107kW (공장기저 10 + air compressure 97)</t>
    <phoneticPr fontId="5" type="noConversion"/>
  </si>
  <si>
    <t>작업자 동시 가동 유닛 수</t>
    <phoneticPr fontId="5" type="noConversion"/>
  </si>
  <si>
    <t>불량률</t>
    <phoneticPr fontId="5" type="noConversion"/>
  </si>
  <si>
    <t>미반영</t>
    <phoneticPr fontId="5" type="noConversion"/>
  </si>
  <si>
    <t>설비 고장</t>
    <phoneticPr fontId="5" type="noConversion"/>
  </si>
  <si>
    <t>작업자 숙련도</t>
    <phoneticPr fontId="5" type="noConversion"/>
  </si>
  <si>
    <t>0.5h(원하는 주기로 재 샘플링 가능)</t>
    <phoneticPr fontId="5" type="noConversion"/>
  </si>
  <si>
    <t>09:00~12:00, 13:00~18:00 (하루 8h)</t>
    <phoneticPr fontId="5" type="noConversion"/>
  </si>
  <si>
    <t>경과 작업시간(h)</t>
    <phoneticPr fontId="5" type="noConversion"/>
  </si>
  <si>
    <t>모델 누적 생산량</t>
    <phoneticPr fontId="5" type="noConversion"/>
  </si>
  <si>
    <t>작업자당 평균 유휴시간(h)</t>
    <phoneticPr fontId="5" type="noConversion"/>
  </si>
  <si>
    <t>에너지 소모량(kWh)</t>
    <phoneticPr fontId="5" type="noConversion"/>
  </si>
  <si>
    <t>MODEL_A</t>
  </si>
  <si>
    <t>MODEL_B</t>
  </si>
  <si>
    <t>MODEL_C</t>
  </si>
  <si>
    <t>SemiAssembly</t>
    <phoneticPr fontId="5" type="noConversion"/>
  </si>
  <si>
    <t>SetAssembly</t>
    <phoneticPr fontId="5" type="noConversion"/>
  </si>
  <si>
    <t>Aging</t>
    <phoneticPr fontId="5" type="noConversion"/>
  </si>
  <si>
    <t>Oqc</t>
    <phoneticPr fontId="5" type="noConversion"/>
  </si>
  <si>
    <t>RMA</t>
    <phoneticPr fontId="5" type="noConversion"/>
  </si>
  <si>
    <t>Packaging</t>
    <phoneticPr fontId="5" type="noConversion"/>
  </si>
  <si>
    <t>기저부하량</t>
    <phoneticPr fontId="5" type="noConversion"/>
  </si>
  <si>
    <t>Loader</t>
    <phoneticPr fontId="5" type="noConversion"/>
  </si>
  <si>
    <t>ScreenPrinter</t>
    <phoneticPr fontId="5" type="noConversion"/>
  </si>
  <si>
    <t>SPI</t>
    <phoneticPr fontId="5" type="noConversion"/>
  </si>
  <si>
    <t>Mounter</t>
    <phoneticPr fontId="5" type="noConversion"/>
  </si>
  <si>
    <t>Reflow</t>
    <phoneticPr fontId="5" type="noConversion"/>
  </si>
  <si>
    <t>Unloader</t>
    <phoneticPr fontId="5" type="noConversion"/>
  </si>
  <si>
    <t>AOI</t>
    <phoneticPr fontId="5" type="noConversion"/>
  </si>
  <si>
    <t>전체</t>
    <phoneticPr fontId="5" type="noConversion"/>
  </si>
  <si>
    <t>작업자 이동 없음</t>
    <phoneticPr fontId="5" type="noConversion"/>
  </si>
  <si>
    <t>SEMI 라인 11명 중 10명이 10분 유휴 시
FwInput, LensHolder, Focus, Set, Inspection 라인으로 이동</t>
    <phoneticPr fontId="5" type="noConversion"/>
  </si>
  <si>
    <t>전력사용량 / 총생산량</t>
    <phoneticPr fontId="5" type="noConversion"/>
  </si>
  <si>
    <t>전력사용량(kWh)</t>
    <phoneticPr fontId="5" type="noConversion"/>
  </si>
  <si>
    <t>기타</t>
    <phoneticPr fontId="5" type="noConversion"/>
  </si>
  <si>
    <t>산정 경계</t>
    <phoneticPr fontId="5" type="noConversion"/>
  </si>
  <si>
    <t>전력 사용량까지 산정. 탄소배출량 계산은 불가</t>
    <phoneticPr fontId="5" type="noConversion"/>
  </si>
  <si>
    <t>강화학습 모델 버전</t>
    <phoneticPr fontId="5" type="noConversion"/>
  </si>
  <si>
    <t>납기여유율</t>
    <phoneticPr fontId="5" type="noConversion"/>
  </si>
  <si>
    <t>총 전력사용량(kWh)</t>
    <phoneticPr fontId="5" type="noConversion"/>
  </si>
  <si>
    <t>총 작업시간(h)</t>
    <phoneticPr fontId="5" type="noConversion"/>
  </si>
  <si>
    <t>강화학습 전</t>
    <phoneticPr fontId="5" type="noConversion"/>
  </si>
  <si>
    <t>강화학습 후</t>
    <phoneticPr fontId="5" type="noConversion"/>
  </si>
  <si>
    <t>납기일자(d)</t>
    <phoneticPr fontId="5" type="noConversion"/>
  </si>
  <si>
    <t>주문 수량(모델 ABC)</t>
    <phoneticPr fontId="5" type="noConversion"/>
  </si>
  <si>
    <t>구분</t>
    <phoneticPr fontId="5" type="noConversion"/>
  </si>
  <si>
    <t>비고</t>
    <phoneticPr fontId="5" type="noConversion"/>
  </si>
  <si>
    <t>최적해</t>
    <phoneticPr fontId="5" type="noConversion"/>
  </si>
  <si>
    <t>작업자 균등 분배</t>
    <phoneticPr fontId="5" type="noConversion"/>
  </si>
  <si>
    <t>총 전력소모량[kWh]</t>
    <phoneticPr fontId="5" type="noConversion"/>
  </si>
  <si>
    <t>이동 인원 최적해 (SEMI 라인 작업자 10명 10분 유휴시 이동)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</si>
</sst>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%"/>
    <numFmt numFmtId="178" formatCode="0.00_ "/>
    <numFmt numFmtId="179" formatCode="0.0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scheme val="minor"/>
    </font>
    <font>
      <sz val="9"/>
      <color indexed="81"/>
      <name val="Tahoma"/>
      <family val="2"/>
    </font>
    <font>
      <sz val="11"/>
      <color theme="1"/>
      <name val="맑은 고딕"/>
      <family val="2"/>
      <scheme val="minor"/>
    </font>
    <font>
      <sz val="9"/>
      <color indexed="81"/>
      <name val="돋움체"/>
      <family val="3"/>
      <charset val="129"/>
    </font>
    <font>
      <b/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9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176" fontId="0" fillId="0" borderId="0" xfId="0" applyNumberFormat="1"/>
    <xf numFmtId="0" fontId="0" fillId="0" borderId="0" xfId="0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78" fontId="2" fillId="2" borderId="22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79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177" fontId="0" fillId="0" borderId="1" xfId="1" applyNumberFormat="1" applyFont="1" applyBorder="1" applyAlignment="1"/>
    <xf numFmtId="177" fontId="0" fillId="3" borderId="1" xfId="1" applyNumberFormat="1" applyFont="1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3" borderId="15" xfId="0" applyFill="1" applyBorder="1" applyAlignment="1">
      <alignment horizontal="center" vertical="top" wrapText="1"/>
    </xf>
    <xf numFmtId="0" fontId="0" fillId="3" borderId="16" xfId="0" applyFill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78" fontId="2" fillId="2" borderId="2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4" borderId="1" xfId="0" applyFont="1" applyFill="1" applyBorder="1"/>
    <xf numFmtId="3" fontId="0" fillId="0" borderId="1" xfId="0" applyNumberForma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1" xfId="0" applyBorder="1"/>
    <xf numFmtId="179" fontId="0" fillId="0" borderId="1" xfId="0" applyNumberFormat="1" applyBorder="1"/>
    <xf numFmtId="176" fontId="0" fillId="0" borderId="1" xfId="0" applyNumberFormat="1" applyBorder="1"/>
    <xf numFmtId="0" fontId="4" fillId="2" borderId="0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FF00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53916521361417"/>
          <c:y val="4.6140191564646521E-2"/>
          <c:w val="0.7099193793216888"/>
          <c:h val="0.77043940570710501"/>
        </c:manualLayout>
      </c:layout>
      <c:scatterChart>
        <c:scatterStyle val="lineMarker"/>
        <c:varyColors val="0"/>
        <c:ser>
          <c:idx val="0"/>
          <c:order val="0"/>
          <c:marker>
            <c:symbol val="circle"/>
            <c:size val="6"/>
            <c:spPr>
              <a:solidFill>
                <a:schemeClr val="tx1"/>
              </a:solidFill>
              <a:ln w="6350">
                <a:solidFill>
                  <a:schemeClr val="tx1"/>
                </a:solidFill>
                <a:prstDash val="solid"/>
              </a:ln>
            </c:spPr>
          </c:marker>
          <c:xVal>
            <c:numRef>
              <c:f>'1) 설비·생산라인 무한가동'!$U$3:$U$30</c:f>
              <c:numCache>
                <c:formatCode>#,##0</c:formatCode>
                <c:ptCount val="28"/>
                <c:pt idx="0">
                  <c:v>90</c:v>
                </c:pt>
                <c:pt idx="1">
                  <c:v>180</c:v>
                </c:pt>
                <c:pt idx="2">
                  <c:v>270</c:v>
                </c:pt>
                <c:pt idx="3">
                  <c:v>360</c:v>
                </c:pt>
                <c:pt idx="4">
                  <c:v>450</c:v>
                </c:pt>
                <c:pt idx="5">
                  <c:v>540</c:v>
                </c:pt>
                <c:pt idx="6">
                  <c:v>630</c:v>
                </c:pt>
                <c:pt idx="7">
                  <c:v>720</c:v>
                </c:pt>
                <c:pt idx="8">
                  <c:v>810</c:v>
                </c:pt>
                <c:pt idx="9">
                  <c:v>900</c:v>
                </c:pt>
                <c:pt idx="10">
                  <c:v>990</c:v>
                </c:pt>
                <c:pt idx="11">
                  <c:v>1080</c:v>
                </c:pt>
                <c:pt idx="12">
                  <c:v>1170</c:v>
                </c:pt>
                <c:pt idx="13">
                  <c:v>1260</c:v>
                </c:pt>
                <c:pt idx="14">
                  <c:v>1350</c:v>
                </c:pt>
                <c:pt idx="15">
                  <c:v>1440</c:v>
                </c:pt>
                <c:pt idx="16">
                  <c:v>1530</c:v>
                </c:pt>
                <c:pt idx="17">
                  <c:v>1620</c:v>
                </c:pt>
                <c:pt idx="18">
                  <c:v>1710</c:v>
                </c:pt>
                <c:pt idx="19">
                  <c:v>1800</c:v>
                </c:pt>
                <c:pt idx="20">
                  <c:v>1890</c:v>
                </c:pt>
                <c:pt idx="21">
                  <c:v>1980</c:v>
                </c:pt>
                <c:pt idx="22">
                  <c:v>2070</c:v>
                </c:pt>
                <c:pt idx="23">
                  <c:v>2160</c:v>
                </c:pt>
                <c:pt idx="24">
                  <c:v>2250</c:v>
                </c:pt>
                <c:pt idx="25">
                  <c:v>2340</c:v>
                </c:pt>
                <c:pt idx="26">
                  <c:v>2430</c:v>
                </c:pt>
                <c:pt idx="27">
                  <c:v>3780</c:v>
                </c:pt>
              </c:numCache>
            </c:numRef>
          </c:xVal>
          <c:yVal>
            <c:numRef>
              <c:f>'1) 설비·생산라인 무한가동'!$W$3:$W$30</c:f>
              <c:numCache>
                <c:formatCode>0.00</c:formatCode>
                <c:ptCount val="28"/>
                <c:pt idx="0">
                  <c:v>16.652222222222221</c:v>
                </c:pt>
                <c:pt idx="1">
                  <c:v>9.6911111111111108</c:v>
                </c:pt>
                <c:pt idx="2">
                  <c:v>7.4922222222222219</c:v>
                </c:pt>
                <c:pt idx="3">
                  <c:v>6.4097222222222223</c:v>
                </c:pt>
                <c:pt idx="4">
                  <c:v>5.6375555555555561</c:v>
                </c:pt>
                <c:pt idx="5">
                  <c:v>5.3968518518518511</c:v>
                </c:pt>
                <c:pt idx="6">
                  <c:v>5.2261904761904763</c:v>
                </c:pt>
                <c:pt idx="7">
                  <c:v>5.2433333333333332</c:v>
                </c:pt>
                <c:pt idx="8">
                  <c:v>5.1849382716049384</c:v>
                </c:pt>
                <c:pt idx="9">
                  <c:v>4.9083333333333332</c:v>
                </c:pt>
                <c:pt idx="10">
                  <c:v>5.0988888888888892</c:v>
                </c:pt>
                <c:pt idx="11">
                  <c:v>4.9832407407407402</c:v>
                </c:pt>
                <c:pt idx="12">
                  <c:v>4.7547863247863251</c:v>
                </c:pt>
                <c:pt idx="13">
                  <c:v>4.6559523809523808</c:v>
                </c:pt>
                <c:pt idx="14">
                  <c:v>4.9537777777777769</c:v>
                </c:pt>
                <c:pt idx="15">
                  <c:v>4.833819444444444</c:v>
                </c:pt>
                <c:pt idx="16">
                  <c:v>4.7658823529411762</c:v>
                </c:pt>
                <c:pt idx="17">
                  <c:v>4.8245679012345679</c:v>
                </c:pt>
                <c:pt idx="18">
                  <c:v>4.8560818713450287</c:v>
                </c:pt>
                <c:pt idx="19">
                  <c:v>4.8650555555555544</c:v>
                </c:pt>
                <c:pt idx="20">
                  <c:v>4.7425925925925929</c:v>
                </c:pt>
                <c:pt idx="21">
                  <c:v>5.0441414141414143</c:v>
                </c:pt>
                <c:pt idx="22">
                  <c:v>4.5922222222222224</c:v>
                </c:pt>
                <c:pt idx="23">
                  <c:v>4.7447685185185184</c:v>
                </c:pt>
                <c:pt idx="24">
                  <c:v>4.7635555555555555</c:v>
                </c:pt>
                <c:pt idx="25">
                  <c:v>4.6573504273504271</c:v>
                </c:pt>
                <c:pt idx="26">
                  <c:v>4.6420164609053494</c:v>
                </c:pt>
                <c:pt idx="27">
                  <c:v>4.6868253968253972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TP</c:v>
                </c15:tx>
              </c15:filteredSeriesTitle>
            </c:ext>
            <c:ext xmlns:c16="http://schemas.microsoft.com/office/drawing/2014/chart" uri="{C3380CC4-5D6E-409C-BE32-E72D297353CC}">
              <c16:uniqueId val="{00000000-2445-45A5-B23A-2C232598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64511"/>
        <c:axId val="6065588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>
                    <a:solidFill>
                      <a:srgbClr val="FF00FF"/>
                    </a:solidFill>
                    <a:prstDash val="sysDash"/>
                  </a:ln>
                </c:spPr>
                <c:marker>
                  <c:symbol val="none"/>
                </c:marker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1260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5867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45-45A5-B23A-2C232598E349}"/>
                  </c:ext>
                </c:extLst>
              </c15:ser>
            </c15:filteredScatterSeries>
            <c15:filteredScatterSeries>
              <c15:ser>
                <c:idx val="2"/>
                <c:order val="2"/>
                <c:marker>
                  <c:symbol val="none"/>
                </c:marker>
                <c:dPt>
                  <c:idx val="1"/>
                  <c:bubble3D val="0"/>
                  <c:spPr>
                    <a:ln>
                      <a:solidFill>
                        <a:schemeClr val="bg1">
                          <a:lumMod val="75000"/>
                        </a:schemeClr>
                      </a:solidFill>
                      <a:prstDash val="sysDash"/>
                    </a:ln>
                  </c:spPr>
                  <c:extLst>
                    <c:ext xmlns:c16="http://schemas.microsoft.com/office/drawing/2014/chart" uri="{C3380CC4-5D6E-409C-BE32-E72D297353CC}">
                      <c16:uniqueId val="{00000003-2445-45A5-B23A-2C232598E349}"/>
                    </c:ext>
                  </c:extLst>
                </c:dPt>
                <c:x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2070</c:v>
                    </c:pt>
                  </c:numLit>
                </c:xVal>
                <c:yVal>
                  <c:numLit>
                    <c:formatCode>General</c:formatCode>
                    <c:ptCount val="2"/>
                    <c:pt idx="0">
                      <c:v>0</c:v>
                    </c:pt>
                    <c:pt idx="1">
                      <c:v>9506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4-2445-45A5-B23A-2C232598E349}"/>
                  </c:ext>
                </c:extLst>
              </c15:ser>
            </c15:filteredScatterSeries>
          </c:ext>
        </c:extLst>
      </c:scatterChart>
      <c:valAx>
        <c:axId val="55564511"/>
        <c:scaling>
          <c:orientation val="minMax"/>
          <c:max val="25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ko-KR" altLang="en-US" sz="1200"/>
                  <a:t>총생산량</a:t>
                </a:r>
                <a:r>
                  <a:rPr lang="en-US" altLang="ko-KR" sz="1200"/>
                  <a:t>(</a:t>
                </a:r>
                <a:r>
                  <a:rPr lang="ko-KR" altLang="en-US" sz="1200"/>
                  <a:t>개</a:t>
                </a:r>
                <a:r>
                  <a:rPr lang="en-US" altLang="ko-KR" sz="1200"/>
                  <a:t>)</a:t>
                </a:r>
                <a:endParaRPr lang="ko-KR" altLang="en-US" sz="1200"/>
              </a:p>
            </c:rich>
          </c:tx>
          <c:layout>
            <c:manualLayout>
              <c:xMode val="edge"/>
              <c:yMode val="edge"/>
              <c:x val="0.4748244123057847"/>
              <c:y val="0.9099976631874123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300"/>
            </a:pPr>
            <a:endParaRPr lang="ko-KR"/>
          </a:p>
        </c:txPr>
        <c:crossAx val="60655887"/>
        <c:crosses val="autoZero"/>
        <c:crossBetween val="midCat"/>
      </c:valAx>
      <c:valAx>
        <c:axId val="60655887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ko-KR" altLang="en-US" sz="1200"/>
                  <a:t>전력사용량</a:t>
                </a:r>
                <a:r>
                  <a:rPr lang="en-US" altLang="ko-KR" sz="1200"/>
                  <a:t>/</a:t>
                </a:r>
                <a:r>
                  <a:rPr lang="ko-KR" altLang="en-US" sz="1200"/>
                  <a:t>총생산량 </a:t>
                </a:r>
                <a:r>
                  <a:rPr lang="en-US" altLang="ko-KR" sz="1200"/>
                  <a:t>(kWh/</a:t>
                </a:r>
                <a:r>
                  <a:rPr lang="ko-KR" altLang="en-US" sz="1200"/>
                  <a:t>개</a:t>
                </a:r>
                <a:r>
                  <a:rPr lang="en-US" altLang="ko-KR" sz="1200"/>
                  <a:t>)</a:t>
                </a:r>
                <a:endParaRPr lang="en-US" sz="1200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/>
            </a:pPr>
            <a:endParaRPr lang="ko-KR"/>
          </a:p>
        </c:txPr>
        <c:crossAx val="555645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5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805344</xdr:colOff>
      <xdr:row>3</xdr:row>
      <xdr:rowOff>34176</xdr:rowOff>
    </xdr:from>
    <xdr:to>
      <xdr:col>14</xdr:col>
      <xdr:colOff>247431</xdr:colOff>
      <xdr:row>20</xdr:row>
      <xdr:rowOff>207065</xdr:rowOff>
    </xdr:to>
    <xdr:graphicFrame macro="">
      <xdr:nvGraphicFramePr>
        <xdr:cNvPr id="2" name="power_tp">
          <a:extLst>
            <a:ext uri="{FF2B5EF4-FFF2-40B4-BE49-F238E27FC236}">
              <a16:creationId xmlns:a16="http://schemas.microsoft.com/office/drawing/2014/main" id="{27A51D6C-6779-4F45-992D-CE9DB90E0B7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168963</xdr:colOff>
      <xdr:row>12</xdr:row>
      <xdr:rowOff>94422</xdr:rowOff>
    </xdr:from>
    <xdr:to>
      <xdr:col>13</xdr:col>
      <xdr:colOff>185528</xdr:colOff>
      <xdr:row>13</xdr:row>
      <xdr:rowOff>94422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FF8D17-4FF9-43D0-9A39-AF8EBCD6E9F2}"/>
            </a:ext>
          </a:extLst>
        </xdr:cNvPr>
        <xdr:cNvSpPr txBox="1"/>
      </xdr:nvSpPr>
      <xdr:spPr>
        <a:xfrm>
          <a:off x="11151702" y="2579205"/>
          <a:ext cx="521804" cy="20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>
              <a:ln>
                <a:noFill/>
              </a:ln>
            </a:rPr>
            <a:t>2,070</a:t>
          </a:r>
          <a:endParaRPr lang="ko-KR" altLang="en-US" sz="1100">
            <a:ln>
              <a:noFill/>
            </a:ln>
          </a:endParaRPr>
        </a:p>
      </xdr:txBody>
    </xdr:sp>
    <xdr:clientData/>
  </xdr:twoCellAnchor>
  <xdr:twoCellAnchor>
    <xdr:from>
      <xdr:col>12</xdr:col>
      <xdr:colOff>421258</xdr:colOff>
      <xdr:row>14</xdr:row>
      <xdr:rowOff>92065</xdr:rowOff>
    </xdr:from>
    <xdr:to>
      <xdr:col>12</xdr:col>
      <xdr:colOff>421991</xdr:colOff>
      <xdr:row>17</xdr:row>
      <xdr:rowOff>180433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85DDF0FD-5EBF-9E4C-4367-F2B9F458E270}"/>
            </a:ext>
          </a:extLst>
        </xdr:cNvPr>
        <xdr:cNvCxnSpPr/>
      </xdr:nvCxnSpPr>
      <xdr:spPr>
        <a:xfrm flipH="1">
          <a:off x="11403997" y="2990978"/>
          <a:ext cx="733" cy="709564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331623</xdr:colOff>
      <xdr:row>13</xdr:row>
      <xdr:rowOff>151635</xdr:rowOff>
    </xdr:from>
    <xdr:to>
      <xdr:col>13</xdr:col>
      <xdr:colOff>6384</xdr:colOff>
      <xdr:row>14</xdr:row>
      <xdr:rowOff>119154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DDBCE20D-5390-2FD1-BFAE-6C31EFDD5887}"/>
            </a:ext>
          </a:extLst>
        </xdr:cNvPr>
        <xdr:cNvSpPr/>
      </xdr:nvSpPr>
      <xdr:spPr>
        <a:xfrm>
          <a:off x="11314362" y="2843483"/>
          <a:ext cx="180000" cy="174584"/>
        </a:xfrm>
        <a:prstGeom prst="ellipse">
          <a:avLst/>
        </a:prstGeom>
        <a:solidFill>
          <a:schemeClr val="accent2"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3438-F69F-4E23-9FCF-0CF87B42998A}">
  <sheetPr>
    <tabColor rgb="FF002060"/>
  </sheetPr>
  <dimension ref="B2:Z72"/>
  <sheetViews>
    <sheetView tabSelected="1" zoomScale="115" zoomScaleNormal="115" workbookViewId="0">
      <selection activeCell="I27" sqref="I27"/>
    </sheetView>
  </sheetViews>
  <sheetFormatPr defaultColWidth="7.625" defaultRowHeight="16.5" x14ac:dyDescent="0.3"/>
  <cols>
    <col min="2" max="2" width="25.875" bestFit="1" customWidth="1"/>
    <col min="3" max="3" width="16.625" customWidth="1"/>
    <col min="4" max="4" width="24.375" bestFit="1" customWidth="1"/>
    <col min="5" max="5" width="16.625" customWidth="1"/>
    <col min="6" max="6" width="12.25" bestFit="1" customWidth="1"/>
    <col min="8" max="14" width="6.625" bestFit="1" customWidth="1"/>
    <col min="17" max="17" width="12.625" bestFit="1" customWidth="1"/>
    <col min="18" max="18" width="11.75" bestFit="1" customWidth="1"/>
    <col min="19" max="19" width="34.875" bestFit="1" customWidth="1"/>
    <col min="20" max="20" width="15.375" customWidth="1"/>
    <col min="21" max="21" width="12.625" bestFit="1" customWidth="1"/>
    <col min="22" max="22" width="17.875" bestFit="1" customWidth="1"/>
    <col min="23" max="23" width="41.75" bestFit="1" customWidth="1"/>
    <col min="24" max="25" width="15.375" bestFit="1" customWidth="1"/>
    <col min="26" max="30" width="15.375" customWidth="1"/>
    <col min="31" max="31" width="12.875" bestFit="1" customWidth="1"/>
    <col min="32" max="35" width="15.375" bestFit="1" customWidth="1"/>
  </cols>
  <sheetData>
    <row r="2" spans="2:23" x14ac:dyDescent="0.3">
      <c r="B2" s="47" t="s">
        <v>0</v>
      </c>
      <c r="C2" s="48"/>
      <c r="D2" s="48"/>
      <c r="E2" s="48"/>
      <c r="Q2" s="1" t="s">
        <v>1</v>
      </c>
      <c r="R2" s="1" t="s">
        <v>2</v>
      </c>
      <c r="S2" s="1" t="s">
        <v>3</v>
      </c>
      <c r="U2" s="1" t="s">
        <v>1</v>
      </c>
      <c r="V2" s="1" t="s">
        <v>87</v>
      </c>
      <c r="W2" s="1" t="s">
        <v>86</v>
      </c>
    </row>
    <row r="3" spans="2:23" x14ac:dyDescent="0.3">
      <c r="B3" s="22" t="s">
        <v>91</v>
      </c>
      <c r="C3" s="72" t="s">
        <v>43</v>
      </c>
      <c r="D3" s="73"/>
      <c r="E3" s="74"/>
      <c r="Q3" s="3">
        <v>90</v>
      </c>
      <c r="R3" s="4">
        <v>11.2667</v>
      </c>
      <c r="S3" s="5">
        <f t="shared" ref="S3:S30" si="0">Q3/R3</f>
        <v>7.9881420469170212</v>
      </c>
      <c r="U3" s="6">
        <v>90</v>
      </c>
      <c r="V3" s="6">
        <v>1498.6999999999998</v>
      </c>
      <c r="W3" s="5">
        <f>V3/U3</f>
        <v>16.652222222222221</v>
      </c>
    </row>
    <row r="4" spans="2:23" ht="16.5" customHeight="1" x14ac:dyDescent="0.3">
      <c r="B4" s="50" t="s">
        <v>47</v>
      </c>
      <c r="C4" s="52" t="s">
        <v>46</v>
      </c>
      <c r="D4" s="53"/>
      <c r="E4" s="54"/>
      <c r="Q4" s="6">
        <v>180</v>
      </c>
      <c r="R4" s="5">
        <v>11.525</v>
      </c>
      <c r="S4" s="5">
        <f t="shared" si="0"/>
        <v>15.61822125813449</v>
      </c>
      <c r="U4" s="6">
        <v>180</v>
      </c>
      <c r="V4" s="6">
        <v>1744.3999999999999</v>
      </c>
      <c r="W4" s="5">
        <f t="shared" ref="W4:W30" si="1">V4/U4</f>
        <v>9.6911111111111108</v>
      </c>
    </row>
    <row r="5" spans="2:23" x14ac:dyDescent="0.3">
      <c r="B5" s="51"/>
      <c r="C5" s="55"/>
      <c r="D5" s="56"/>
      <c r="E5" s="57"/>
      <c r="Q5" s="6">
        <v>270</v>
      </c>
      <c r="R5" s="5">
        <v>12.091699999999999</v>
      </c>
      <c r="S5" s="5">
        <f t="shared" si="0"/>
        <v>22.329366424903032</v>
      </c>
      <c r="U5" s="6">
        <v>270</v>
      </c>
      <c r="V5" s="6">
        <v>2022.8999999999999</v>
      </c>
      <c r="W5" s="5">
        <f t="shared" si="1"/>
        <v>7.4922222222222219</v>
      </c>
    </row>
    <row r="6" spans="2:23" x14ac:dyDescent="0.3">
      <c r="B6" s="2" t="s">
        <v>44</v>
      </c>
      <c r="C6" s="65" t="s">
        <v>45</v>
      </c>
      <c r="D6" s="66"/>
      <c r="E6" s="67"/>
      <c r="Q6" s="6">
        <v>360</v>
      </c>
      <c r="R6" s="5">
        <v>12.716699999999999</v>
      </c>
      <c r="S6" s="5">
        <f t="shared" si="0"/>
        <v>28.309231168463519</v>
      </c>
      <c r="U6" s="6">
        <v>360</v>
      </c>
      <c r="V6" s="6">
        <v>2307.5</v>
      </c>
      <c r="W6" s="5">
        <f t="shared" si="1"/>
        <v>6.4097222222222223</v>
      </c>
    </row>
    <row r="7" spans="2:23" x14ac:dyDescent="0.3">
      <c r="B7" s="2" t="s">
        <v>5</v>
      </c>
      <c r="C7" s="68" t="s">
        <v>48</v>
      </c>
      <c r="D7" s="68"/>
      <c r="E7" s="68"/>
      <c r="Q7" s="6">
        <v>450</v>
      </c>
      <c r="R7" s="5">
        <v>12.824999999999999</v>
      </c>
      <c r="S7" s="5">
        <f t="shared" si="0"/>
        <v>35.087719298245617</v>
      </c>
      <c r="U7" s="6">
        <v>450</v>
      </c>
      <c r="V7" s="6">
        <v>2536.9</v>
      </c>
      <c r="W7" s="5">
        <f t="shared" si="1"/>
        <v>5.6375555555555561</v>
      </c>
    </row>
    <row r="8" spans="2:23" x14ac:dyDescent="0.3">
      <c r="B8" s="2" t="s">
        <v>52</v>
      </c>
      <c r="C8" s="69" t="s">
        <v>60</v>
      </c>
      <c r="D8" s="70"/>
      <c r="E8" s="71"/>
      <c r="Q8" s="6">
        <v>540</v>
      </c>
      <c r="R8" s="5">
        <v>14.316700000000001</v>
      </c>
      <c r="S8" s="5">
        <f t="shared" si="0"/>
        <v>37.718189247522119</v>
      </c>
      <c r="U8" s="6">
        <v>540</v>
      </c>
      <c r="V8" s="6">
        <v>2914.2999999999997</v>
      </c>
      <c r="W8" s="5">
        <f t="shared" si="1"/>
        <v>5.3968518518518511</v>
      </c>
    </row>
    <row r="9" spans="2:23" x14ac:dyDescent="0.3">
      <c r="B9" s="2" t="s">
        <v>6</v>
      </c>
      <c r="C9" s="72" t="s">
        <v>7</v>
      </c>
      <c r="D9" s="73"/>
      <c r="E9" s="74"/>
      <c r="Q9" s="6">
        <v>630</v>
      </c>
      <c r="R9" s="5">
        <v>15.816700000000001</v>
      </c>
      <c r="S9" s="5">
        <f t="shared" si="0"/>
        <v>39.8313175314699</v>
      </c>
      <c r="U9" s="6">
        <v>630</v>
      </c>
      <c r="V9" s="6">
        <v>3292.5</v>
      </c>
      <c r="W9" s="5">
        <f t="shared" si="1"/>
        <v>5.2261904761904763</v>
      </c>
    </row>
    <row r="10" spans="2:23" x14ac:dyDescent="0.3">
      <c r="B10" s="47" t="s">
        <v>8</v>
      </c>
      <c r="C10" s="48"/>
      <c r="D10" s="48"/>
      <c r="E10" s="48"/>
      <c r="Q10" s="6">
        <v>720</v>
      </c>
      <c r="R10" s="5">
        <v>18.291699999999999</v>
      </c>
      <c r="S10" s="5">
        <f t="shared" si="0"/>
        <v>39.362115057649099</v>
      </c>
      <c r="U10" s="6">
        <v>720</v>
      </c>
      <c r="V10" s="6">
        <v>3775.2</v>
      </c>
      <c r="W10" s="5">
        <f t="shared" si="1"/>
        <v>5.2433333333333332</v>
      </c>
    </row>
    <row r="11" spans="2:23" x14ac:dyDescent="0.3">
      <c r="B11" s="22" t="s">
        <v>9</v>
      </c>
      <c r="C11" s="65" t="s">
        <v>10</v>
      </c>
      <c r="D11" s="66"/>
      <c r="E11" s="67"/>
      <c r="Q11" s="6">
        <v>810</v>
      </c>
      <c r="R11" s="5">
        <v>20.225000000000001</v>
      </c>
      <c r="S11" s="5">
        <f t="shared" si="0"/>
        <v>40.049443757725584</v>
      </c>
      <c r="U11" s="6">
        <v>810</v>
      </c>
      <c r="V11" s="6">
        <v>4199.8</v>
      </c>
      <c r="W11" s="5">
        <f t="shared" si="1"/>
        <v>5.1849382716049384</v>
      </c>
    </row>
    <row r="12" spans="2:23" x14ac:dyDescent="0.3">
      <c r="B12" s="22" t="s">
        <v>11</v>
      </c>
      <c r="C12" s="65" t="s">
        <v>12</v>
      </c>
      <c r="D12" s="66"/>
      <c r="E12" s="67"/>
      <c r="Q12" s="6">
        <v>900</v>
      </c>
      <c r="R12" s="5">
        <v>20.225000000000001</v>
      </c>
      <c r="S12" s="5">
        <f t="shared" si="0"/>
        <v>44.499381953028426</v>
      </c>
      <c r="U12" s="6">
        <v>900</v>
      </c>
      <c r="V12" s="6">
        <v>4417.5</v>
      </c>
      <c r="W12" s="5">
        <f t="shared" si="1"/>
        <v>4.9083333333333332</v>
      </c>
    </row>
    <row r="13" spans="2:23" x14ac:dyDescent="0.3">
      <c r="B13" s="49" t="s">
        <v>13</v>
      </c>
      <c r="C13" s="65" t="s">
        <v>14</v>
      </c>
      <c r="D13" s="66"/>
      <c r="E13" s="67"/>
      <c r="Q13" s="6">
        <v>990</v>
      </c>
      <c r="R13" s="5">
        <v>24.083300000000001</v>
      </c>
      <c r="S13" s="5">
        <f t="shared" si="0"/>
        <v>41.107323331935405</v>
      </c>
      <c r="U13" s="6">
        <v>990</v>
      </c>
      <c r="V13" s="6">
        <v>5047.9000000000005</v>
      </c>
      <c r="W13" s="5">
        <f t="shared" si="1"/>
        <v>5.0988888888888892</v>
      </c>
    </row>
    <row r="14" spans="2:23" x14ac:dyDescent="0.3">
      <c r="B14" s="46"/>
      <c r="C14" s="65" t="s">
        <v>15</v>
      </c>
      <c r="D14" s="66"/>
      <c r="E14" s="67"/>
      <c r="Q14" s="6">
        <v>1080</v>
      </c>
      <c r="R14" s="5">
        <v>25.166699999999999</v>
      </c>
      <c r="S14" s="5">
        <f t="shared" si="0"/>
        <v>42.913850445231198</v>
      </c>
      <c r="U14" s="6">
        <v>1080</v>
      </c>
      <c r="V14" s="6">
        <v>5381.9</v>
      </c>
      <c r="W14" s="5">
        <f t="shared" si="1"/>
        <v>4.9832407407407402</v>
      </c>
    </row>
    <row r="15" spans="2:23" x14ac:dyDescent="0.3">
      <c r="B15" s="46"/>
      <c r="C15" s="65" t="s">
        <v>16</v>
      </c>
      <c r="D15" s="66"/>
      <c r="E15" s="67"/>
      <c r="Q15" s="6">
        <v>1170</v>
      </c>
      <c r="R15" s="5">
        <v>24.824999999999999</v>
      </c>
      <c r="S15" s="5">
        <f t="shared" si="0"/>
        <v>47.129909365558916</v>
      </c>
      <c r="U15" s="6">
        <v>1170</v>
      </c>
      <c r="V15" s="6">
        <v>5563.1</v>
      </c>
      <c r="W15" s="5">
        <f t="shared" si="1"/>
        <v>4.7547863247863251</v>
      </c>
    </row>
    <row r="16" spans="2:23" x14ac:dyDescent="0.3">
      <c r="B16" s="46"/>
      <c r="C16" s="65" t="s">
        <v>17</v>
      </c>
      <c r="D16" s="66"/>
      <c r="E16" s="67"/>
      <c r="Q16" s="20">
        <v>1260</v>
      </c>
      <c r="R16" s="21">
        <v>25.625</v>
      </c>
      <c r="S16" s="21">
        <f t="shared" si="0"/>
        <v>49.170731707317074</v>
      </c>
      <c r="U16" s="20">
        <v>1260</v>
      </c>
      <c r="V16" s="20">
        <v>5866.5</v>
      </c>
      <c r="W16" s="21">
        <f t="shared" si="1"/>
        <v>4.6559523809523808</v>
      </c>
    </row>
    <row r="17" spans="2:23" x14ac:dyDescent="0.3">
      <c r="B17" s="46"/>
      <c r="C17" s="65" t="s">
        <v>18</v>
      </c>
      <c r="D17" s="66"/>
      <c r="E17" s="67"/>
      <c r="Q17" s="6">
        <v>1350</v>
      </c>
      <c r="R17" s="5">
        <v>31.2667</v>
      </c>
      <c r="S17" s="5">
        <f t="shared" si="0"/>
        <v>43.176926250611672</v>
      </c>
      <c r="U17" s="6">
        <v>1350</v>
      </c>
      <c r="V17" s="6">
        <v>6687.5999999999995</v>
      </c>
      <c r="W17" s="5">
        <f t="shared" si="1"/>
        <v>4.9537777777777769</v>
      </c>
    </row>
    <row r="18" spans="2:23" x14ac:dyDescent="0.3">
      <c r="B18" s="46"/>
      <c r="C18" s="65" t="s">
        <v>19</v>
      </c>
      <c r="D18" s="66"/>
      <c r="E18" s="67"/>
      <c r="Q18" s="6">
        <v>1440</v>
      </c>
      <c r="R18" s="5">
        <v>31.783300000000001</v>
      </c>
      <c r="S18" s="5">
        <f t="shared" si="0"/>
        <v>45.3068120679728</v>
      </c>
      <c r="U18" s="6">
        <v>1440</v>
      </c>
      <c r="V18" s="6">
        <v>6960.7</v>
      </c>
      <c r="W18" s="5">
        <f t="shared" si="1"/>
        <v>4.833819444444444</v>
      </c>
    </row>
    <row r="19" spans="2:23" x14ac:dyDescent="0.3">
      <c r="B19" s="46"/>
      <c r="C19" s="65" t="s">
        <v>20</v>
      </c>
      <c r="D19" s="66"/>
      <c r="E19" s="67"/>
      <c r="Q19" s="6">
        <v>1530</v>
      </c>
      <c r="R19" s="5">
        <v>32.841700000000003</v>
      </c>
      <c r="S19" s="5">
        <f t="shared" si="0"/>
        <v>46.58711333457159</v>
      </c>
      <c r="U19" s="6">
        <v>1530</v>
      </c>
      <c r="V19" s="6">
        <v>7291.8</v>
      </c>
      <c r="W19" s="5">
        <f t="shared" si="1"/>
        <v>4.7658823529411762</v>
      </c>
    </row>
    <row r="20" spans="2:23" ht="16.5" customHeight="1" x14ac:dyDescent="0.3">
      <c r="B20" s="50" t="s">
        <v>21</v>
      </c>
      <c r="C20" s="59" t="s">
        <v>49</v>
      </c>
      <c r="D20" s="60"/>
      <c r="E20" s="61"/>
      <c r="Q20" s="6">
        <v>1620</v>
      </c>
      <c r="R20" s="5">
        <v>35.700000000000003</v>
      </c>
      <c r="S20" s="5">
        <f t="shared" si="0"/>
        <v>45.378151260504197</v>
      </c>
      <c r="U20" s="6">
        <v>1620</v>
      </c>
      <c r="V20" s="6">
        <v>7815.8</v>
      </c>
      <c r="W20" s="5">
        <f t="shared" si="1"/>
        <v>4.8245679012345679</v>
      </c>
    </row>
    <row r="21" spans="2:23" x14ac:dyDescent="0.3">
      <c r="B21" s="58"/>
      <c r="C21" s="62"/>
      <c r="D21" s="63"/>
      <c r="E21" s="64"/>
      <c r="Q21" s="6">
        <v>1710</v>
      </c>
      <c r="R21" s="5">
        <v>38.225000000000001</v>
      </c>
      <c r="S21" s="5">
        <f t="shared" si="0"/>
        <v>44.735120994113799</v>
      </c>
      <c r="U21" s="6">
        <v>1710</v>
      </c>
      <c r="V21" s="6">
        <v>8303.9</v>
      </c>
      <c r="W21" s="5">
        <f t="shared" si="1"/>
        <v>4.8560818713450287</v>
      </c>
    </row>
    <row r="22" spans="2:23" x14ac:dyDescent="0.3">
      <c r="B22" s="9" t="s">
        <v>22</v>
      </c>
      <c r="C22" s="35" t="s">
        <v>23</v>
      </c>
      <c r="D22" s="9" t="s">
        <v>55</v>
      </c>
      <c r="E22" s="9" t="s">
        <v>24</v>
      </c>
      <c r="Q22" s="6">
        <v>1800</v>
      </c>
      <c r="R22" s="5">
        <v>40.424999999999997</v>
      </c>
      <c r="S22" s="5">
        <f t="shared" si="0"/>
        <v>44.526901669758814</v>
      </c>
      <c r="U22" s="6">
        <v>1800</v>
      </c>
      <c r="V22" s="6">
        <v>8757.0999999999985</v>
      </c>
      <c r="W22" s="5">
        <f t="shared" si="1"/>
        <v>4.8650555555555544</v>
      </c>
    </row>
    <row r="23" spans="2:23" x14ac:dyDescent="0.3">
      <c r="B23" s="10" t="s">
        <v>25</v>
      </c>
      <c r="C23" s="10">
        <v>2</v>
      </c>
      <c r="D23" s="10">
        <v>1</v>
      </c>
      <c r="E23" s="10">
        <v>16</v>
      </c>
      <c r="Q23" s="6">
        <v>1890</v>
      </c>
      <c r="R23" s="5">
        <v>40.316699999999997</v>
      </c>
      <c r="S23" s="5">
        <f t="shared" si="0"/>
        <v>46.878836809560312</v>
      </c>
      <c r="U23" s="6">
        <v>1890</v>
      </c>
      <c r="V23" s="6">
        <v>8963.5</v>
      </c>
      <c r="W23" s="5">
        <f t="shared" si="1"/>
        <v>4.7425925925925929</v>
      </c>
    </row>
    <row r="24" spans="2:23" x14ac:dyDescent="0.3">
      <c r="B24" s="11" t="s">
        <v>26</v>
      </c>
      <c r="C24" s="11">
        <v>4</v>
      </c>
      <c r="D24" s="11">
        <v>1</v>
      </c>
      <c r="E24" s="11">
        <v>4</v>
      </c>
      <c r="Q24" s="6">
        <v>1980</v>
      </c>
      <c r="R24" s="5">
        <v>47.85</v>
      </c>
      <c r="S24" s="5">
        <f t="shared" si="0"/>
        <v>41.379310344827587</v>
      </c>
      <c r="U24" s="6">
        <v>1980</v>
      </c>
      <c r="V24" s="6">
        <v>9987.4</v>
      </c>
      <c r="W24" s="5">
        <f t="shared" si="1"/>
        <v>5.0441414141414143</v>
      </c>
    </row>
    <row r="25" spans="2:23" x14ac:dyDescent="0.3">
      <c r="B25" s="11" t="s">
        <v>27</v>
      </c>
      <c r="C25" s="11">
        <v>3</v>
      </c>
      <c r="D25" s="11">
        <v>1</v>
      </c>
      <c r="E25" s="11">
        <v>2</v>
      </c>
      <c r="Q25" s="20">
        <v>2070</v>
      </c>
      <c r="R25" s="21">
        <v>41.316699999999997</v>
      </c>
      <c r="S25" s="21">
        <f t="shared" si="0"/>
        <v>50.100806695597669</v>
      </c>
      <c r="U25" s="20">
        <v>2070</v>
      </c>
      <c r="V25" s="20">
        <v>9505.9</v>
      </c>
      <c r="W25" s="21">
        <f t="shared" si="1"/>
        <v>4.5922222222222224</v>
      </c>
    </row>
    <row r="26" spans="2:23" x14ac:dyDescent="0.3">
      <c r="B26" s="11" t="s">
        <v>28</v>
      </c>
      <c r="C26" s="11">
        <v>11</v>
      </c>
      <c r="D26" s="11">
        <v>1</v>
      </c>
      <c r="E26" s="11">
        <v>12</v>
      </c>
      <c r="Q26" s="6">
        <v>2160</v>
      </c>
      <c r="R26" s="5">
        <v>46.225000000000001</v>
      </c>
      <c r="S26" s="5">
        <f t="shared" si="0"/>
        <v>46.727961060032449</v>
      </c>
      <c r="U26" s="6">
        <v>2160</v>
      </c>
      <c r="V26" s="6">
        <v>10248.699999999999</v>
      </c>
      <c r="W26" s="5">
        <f t="shared" si="1"/>
        <v>4.7447685185185184</v>
      </c>
    </row>
    <row r="27" spans="2:23" x14ac:dyDescent="0.3">
      <c r="B27" s="11" t="s">
        <v>29</v>
      </c>
      <c r="C27" s="11">
        <v>12</v>
      </c>
      <c r="D27" s="11">
        <v>1</v>
      </c>
      <c r="E27" s="11">
        <v>23</v>
      </c>
      <c r="Q27" s="6">
        <v>2250</v>
      </c>
      <c r="R27" s="5">
        <v>48.575000000000003</v>
      </c>
      <c r="S27" s="5">
        <f t="shared" si="0"/>
        <v>46.320123520329382</v>
      </c>
      <c r="U27" s="6">
        <v>2250</v>
      </c>
      <c r="V27" s="6">
        <v>10718</v>
      </c>
      <c r="W27" s="5">
        <f t="shared" si="1"/>
        <v>4.7635555555555555</v>
      </c>
    </row>
    <row r="28" spans="2:23" x14ac:dyDescent="0.3">
      <c r="B28" s="11" t="s">
        <v>30</v>
      </c>
      <c r="C28" s="11">
        <v>4</v>
      </c>
      <c r="D28" s="11">
        <v>1</v>
      </c>
      <c r="E28" s="11">
        <v>12</v>
      </c>
      <c r="Q28" s="6">
        <v>2340</v>
      </c>
      <c r="R28" s="5">
        <v>48.225000000000001</v>
      </c>
      <c r="S28" s="5">
        <f t="shared" si="0"/>
        <v>48.522550544323479</v>
      </c>
      <c r="U28" s="6">
        <v>2340</v>
      </c>
      <c r="V28" s="6">
        <v>10898.199999999999</v>
      </c>
      <c r="W28" s="5">
        <f t="shared" si="1"/>
        <v>4.6573504273504271</v>
      </c>
    </row>
    <row r="29" spans="2:23" x14ac:dyDescent="0.3">
      <c r="B29" s="11" t="s">
        <v>31</v>
      </c>
      <c r="C29" s="11">
        <v>6</v>
      </c>
      <c r="D29" s="11">
        <v>45</v>
      </c>
      <c r="E29" s="11">
        <v>3</v>
      </c>
      <c r="Q29" s="6">
        <v>2430</v>
      </c>
      <c r="R29" s="5">
        <v>49.758299999999998</v>
      </c>
      <c r="S29" s="5">
        <f t="shared" si="0"/>
        <v>48.836073579684196</v>
      </c>
      <c r="U29" s="6">
        <v>2430</v>
      </c>
      <c r="V29" s="6">
        <v>11280.099999999999</v>
      </c>
      <c r="W29" s="5">
        <f t="shared" si="1"/>
        <v>4.6420164609053494</v>
      </c>
    </row>
    <row r="30" spans="2:23" x14ac:dyDescent="0.3">
      <c r="B30" s="11" t="s">
        <v>32</v>
      </c>
      <c r="C30" s="11">
        <v>4</v>
      </c>
      <c r="D30" s="11">
        <v>1</v>
      </c>
      <c r="E30" s="11">
        <v>1</v>
      </c>
      <c r="Q30" s="6">
        <v>3780</v>
      </c>
      <c r="R30" s="5">
        <v>79.366699999999994</v>
      </c>
      <c r="S30" s="5">
        <f t="shared" si="0"/>
        <v>47.627027456099349</v>
      </c>
      <c r="U30" s="6">
        <v>3780</v>
      </c>
      <c r="V30" s="6">
        <v>17716.2</v>
      </c>
      <c r="W30" s="5">
        <f t="shared" si="1"/>
        <v>4.6868253968253972</v>
      </c>
    </row>
    <row r="31" spans="2:23" x14ac:dyDescent="0.3">
      <c r="B31" s="11" t="s">
        <v>33</v>
      </c>
      <c r="C31" s="11">
        <v>6</v>
      </c>
      <c r="D31" s="11">
        <v>1</v>
      </c>
      <c r="E31" s="11">
        <v>1</v>
      </c>
    </row>
    <row r="32" spans="2:23" x14ac:dyDescent="0.3">
      <c r="B32" s="11" t="s">
        <v>34</v>
      </c>
      <c r="C32" s="11">
        <v>6</v>
      </c>
      <c r="D32" s="11">
        <v>1</v>
      </c>
      <c r="E32" s="11">
        <v>13</v>
      </c>
    </row>
    <row r="33" spans="2:9" x14ac:dyDescent="0.3">
      <c r="B33" s="47" t="s">
        <v>35</v>
      </c>
      <c r="C33" s="48"/>
      <c r="D33" s="48"/>
      <c r="E33" s="48"/>
    </row>
    <row r="34" spans="2:9" x14ac:dyDescent="0.3">
      <c r="B34" s="2" t="s">
        <v>50</v>
      </c>
      <c r="C34" s="46" t="s">
        <v>54</v>
      </c>
      <c r="D34" s="46"/>
      <c r="E34" s="46"/>
    </row>
    <row r="35" spans="2:9" x14ac:dyDescent="0.3">
      <c r="B35" s="47" t="s">
        <v>88</v>
      </c>
      <c r="C35" s="48"/>
      <c r="D35" s="48"/>
      <c r="E35" s="48"/>
    </row>
    <row r="36" spans="2:9" x14ac:dyDescent="0.3">
      <c r="B36" s="2" t="s">
        <v>53</v>
      </c>
      <c r="C36" s="49" t="s">
        <v>61</v>
      </c>
      <c r="D36" s="49"/>
      <c r="E36" s="49"/>
    </row>
    <row r="37" spans="2:9" x14ac:dyDescent="0.3">
      <c r="B37" s="2" t="s">
        <v>56</v>
      </c>
      <c r="C37" s="49" t="s">
        <v>57</v>
      </c>
      <c r="D37" s="49"/>
      <c r="E37" s="49"/>
    </row>
    <row r="38" spans="2:9" x14ac:dyDescent="0.3">
      <c r="B38" s="2" t="s">
        <v>58</v>
      </c>
      <c r="C38" s="49" t="s">
        <v>57</v>
      </c>
      <c r="D38" s="49"/>
      <c r="E38" s="49"/>
      <c r="G38" s="12"/>
      <c r="H38" s="12"/>
      <c r="I38" s="12"/>
    </row>
    <row r="39" spans="2:9" x14ac:dyDescent="0.3">
      <c r="B39" s="2" t="s">
        <v>59</v>
      </c>
      <c r="C39" s="49" t="s">
        <v>57</v>
      </c>
      <c r="D39" s="49"/>
      <c r="E39" s="49"/>
    </row>
    <row r="40" spans="2:9" x14ac:dyDescent="0.3">
      <c r="B40" s="2" t="s">
        <v>89</v>
      </c>
      <c r="C40" s="46" t="s">
        <v>90</v>
      </c>
      <c r="D40" s="46"/>
      <c r="E40" s="46"/>
    </row>
    <row r="45" spans="2:9" x14ac:dyDescent="0.3">
      <c r="D45" s="13"/>
    </row>
    <row r="46" spans="2:9" x14ac:dyDescent="0.3">
      <c r="D46" s="13"/>
    </row>
    <row r="47" spans="2:9" x14ac:dyDescent="0.3">
      <c r="D47" s="13"/>
    </row>
    <row r="48" spans="2:9" x14ac:dyDescent="0.3">
      <c r="D48" s="13"/>
    </row>
    <row r="49" spans="4:26" x14ac:dyDescent="0.3">
      <c r="D49" s="13"/>
    </row>
    <row r="50" spans="4:26" x14ac:dyDescent="0.3">
      <c r="D50" s="13"/>
    </row>
    <row r="51" spans="4:26" x14ac:dyDescent="0.3">
      <c r="D51" s="13"/>
    </row>
    <row r="52" spans="4:26" x14ac:dyDescent="0.3">
      <c r="D52" s="13"/>
    </row>
    <row r="53" spans="4:26" x14ac:dyDescent="0.3">
      <c r="D53" s="13"/>
    </row>
    <row r="54" spans="4:26" x14ac:dyDescent="0.3">
      <c r="D54" s="13"/>
    </row>
    <row r="55" spans="4:26" x14ac:dyDescent="0.3">
      <c r="D55" s="13"/>
    </row>
    <row r="56" spans="4:26" x14ac:dyDescent="0.3">
      <c r="D56" s="13"/>
    </row>
    <row r="57" spans="4:26" x14ac:dyDescent="0.3">
      <c r="D57" s="13"/>
    </row>
    <row r="58" spans="4:26" x14ac:dyDescent="0.3">
      <c r="D58" s="13"/>
    </row>
    <row r="59" spans="4:26" x14ac:dyDescent="0.3">
      <c r="D59" s="13"/>
      <c r="Y59">
        <v>540</v>
      </c>
      <c r="Z59">
        <v>0</v>
      </c>
    </row>
    <row r="60" spans="4:26" x14ac:dyDescent="0.3">
      <c r="D60" s="13"/>
      <c r="Y60">
        <v>540</v>
      </c>
      <c r="Z60">
        <v>105</v>
      </c>
    </row>
    <row r="61" spans="4:26" x14ac:dyDescent="0.3">
      <c r="D61" s="13"/>
    </row>
    <row r="62" spans="4:26" x14ac:dyDescent="0.3">
      <c r="D62" s="13"/>
    </row>
    <row r="63" spans="4:26" x14ac:dyDescent="0.3">
      <c r="D63" s="13"/>
    </row>
    <row r="64" spans="4:26" x14ac:dyDescent="0.3">
      <c r="D64" s="13"/>
    </row>
    <row r="65" spans="4:4" x14ac:dyDescent="0.3">
      <c r="D65" s="13"/>
    </row>
    <row r="66" spans="4:4" x14ac:dyDescent="0.3">
      <c r="D66" s="13"/>
    </row>
    <row r="67" spans="4:4" x14ac:dyDescent="0.3">
      <c r="D67" s="13"/>
    </row>
    <row r="68" spans="4:4" x14ac:dyDescent="0.3">
      <c r="D68" s="13"/>
    </row>
    <row r="69" spans="4:4" x14ac:dyDescent="0.3">
      <c r="D69" s="13"/>
    </row>
    <row r="70" spans="4:4" x14ac:dyDescent="0.3">
      <c r="D70" s="13"/>
    </row>
    <row r="71" spans="4:4" x14ac:dyDescent="0.3">
      <c r="D71" s="13"/>
    </row>
    <row r="72" spans="4:4" x14ac:dyDescent="0.3">
      <c r="D72" s="13"/>
    </row>
  </sheetData>
  <mergeCells count="29">
    <mergeCell ref="C9:E9"/>
    <mergeCell ref="B10:E10"/>
    <mergeCell ref="C11:E11"/>
    <mergeCell ref="C12:E12"/>
    <mergeCell ref="B2:E2"/>
    <mergeCell ref="C3:E3"/>
    <mergeCell ref="C6:E6"/>
    <mergeCell ref="B33:E33"/>
    <mergeCell ref="C34:E34"/>
    <mergeCell ref="B4:B5"/>
    <mergeCell ref="C4:E5"/>
    <mergeCell ref="B20:B21"/>
    <mergeCell ref="C20:E21"/>
    <mergeCell ref="B13:B19"/>
    <mergeCell ref="C13:E13"/>
    <mergeCell ref="C14:E14"/>
    <mergeCell ref="C15:E15"/>
    <mergeCell ref="C16:E16"/>
    <mergeCell ref="C17:E17"/>
    <mergeCell ref="C18:E18"/>
    <mergeCell ref="C19:E19"/>
    <mergeCell ref="C7:E7"/>
    <mergeCell ref="C8:E8"/>
    <mergeCell ref="C40:E40"/>
    <mergeCell ref="B35:E35"/>
    <mergeCell ref="C36:E36"/>
    <mergeCell ref="C37:E37"/>
    <mergeCell ref="C38:E38"/>
    <mergeCell ref="C39:E39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7850-92C0-4417-8D2C-10606A935A9D}">
  <sheetPr>
    <tabColor rgb="FF7030A0"/>
  </sheetPr>
  <dimension ref="B2:AL157"/>
  <sheetViews>
    <sheetView zoomScale="85" zoomScaleNormal="85" workbookViewId="0">
      <selection activeCell="E45" sqref="E45"/>
    </sheetView>
  </sheetViews>
  <sheetFormatPr defaultRowHeight="16.5" x14ac:dyDescent="0.3"/>
  <cols>
    <col min="1" max="1" width="7.625" customWidth="1"/>
    <col min="2" max="2" width="25.875" bestFit="1" customWidth="1"/>
    <col min="3" max="3" width="16.625" customWidth="1"/>
    <col min="4" max="4" width="24.375" bestFit="1" customWidth="1"/>
    <col min="5" max="5" width="16.625" customWidth="1"/>
    <col min="8" max="8" width="16.625" bestFit="1" customWidth="1"/>
    <col min="9" max="9" width="10.5" bestFit="1" customWidth="1"/>
    <col min="10" max="11" width="10.375" bestFit="1" customWidth="1"/>
    <col min="13" max="13" width="11.875" bestFit="1" customWidth="1"/>
    <col min="14" max="14" width="6.75" bestFit="1" customWidth="1"/>
    <col min="15" max="15" width="15" bestFit="1" customWidth="1"/>
    <col min="16" max="16" width="13.25" bestFit="1" customWidth="1"/>
    <col min="17" max="17" width="10.875" bestFit="1" customWidth="1"/>
    <col min="18" max="18" width="7" bestFit="1" customWidth="1"/>
    <col min="19" max="19" width="5.25" bestFit="1" customWidth="1"/>
    <col min="20" max="20" width="10.625" bestFit="1" customWidth="1"/>
    <col min="21" max="21" width="11.25" bestFit="1" customWidth="1"/>
    <col min="22" max="22" width="7.75" bestFit="1" customWidth="1"/>
    <col min="23" max="23" width="13.875" bestFit="1" customWidth="1"/>
    <col min="24" max="24" width="4.5" bestFit="1" customWidth="1"/>
    <col min="25" max="25" width="9.375" bestFit="1" customWidth="1"/>
    <col min="26" max="26" width="7.875" bestFit="1" customWidth="1"/>
    <col min="27" max="27" width="9.75" bestFit="1" customWidth="1"/>
    <col min="28" max="28" width="5.25" bestFit="1" customWidth="1"/>
    <col min="30" max="30" width="11.875" bestFit="1" customWidth="1"/>
    <col min="31" max="31" width="6.75" bestFit="1" customWidth="1"/>
    <col min="32" max="32" width="15" bestFit="1" customWidth="1"/>
    <col min="33" max="33" width="13.25" bestFit="1" customWidth="1"/>
    <col min="34" max="34" width="10.875" bestFit="1" customWidth="1"/>
    <col min="35" max="35" width="7" bestFit="1" customWidth="1"/>
    <col min="36" max="36" width="5.25" bestFit="1" customWidth="1"/>
    <col min="37" max="37" width="10.625" bestFit="1" customWidth="1"/>
    <col min="38" max="38" width="5.5" bestFit="1" customWidth="1"/>
  </cols>
  <sheetData>
    <row r="2" spans="2:38" x14ac:dyDescent="0.3">
      <c r="B2" s="47" t="s">
        <v>0</v>
      </c>
      <c r="C2" s="48"/>
      <c r="D2" s="48"/>
      <c r="E2" s="48"/>
      <c r="H2" s="91" t="s">
        <v>95</v>
      </c>
    </row>
    <row r="3" spans="2:38" x14ac:dyDescent="0.3">
      <c r="B3" s="22" t="s">
        <v>91</v>
      </c>
      <c r="C3" s="72" t="s">
        <v>43</v>
      </c>
      <c r="D3" s="73"/>
      <c r="E3" s="74"/>
      <c r="H3" s="90" t="s">
        <v>62</v>
      </c>
      <c r="I3" s="78" t="s">
        <v>63</v>
      </c>
      <c r="J3" s="78"/>
      <c r="K3" s="78"/>
      <c r="L3" s="80" t="s">
        <v>64</v>
      </c>
      <c r="M3" s="80"/>
      <c r="N3" s="80"/>
      <c r="O3" s="80"/>
      <c r="P3" s="80"/>
      <c r="Q3" s="80"/>
      <c r="R3" s="80"/>
      <c r="S3" s="80"/>
      <c r="T3" s="80"/>
      <c r="U3" s="78" t="s">
        <v>65</v>
      </c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</row>
    <row r="4" spans="2:38" x14ac:dyDescent="0.3">
      <c r="B4" s="8" t="s">
        <v>47</v>
      </c>
      <c r="C4" s="52" t="s">
        <v>51</v>
      </c>
      <c r="D4" s="53"/>
      <c r="E4" s="54"/>
      <c r="H4" s="79"/>
      <c r="I4" s="26" t="s">
        <v>66</v>
      </c>
      <c r="J4" s="26" t="s">
        <v>67</v>
      </c>
      <c r="K4" s="26" t="s">
        <v>68</v>
      </c>
      <c r="L4" s="27" t="s">
        <v>36</v>
      </c>
      <c r="M4" s="27" t="s">
        <v>37</v>
      </c>
      <c r="N4" s="27" t="s">
        <v>38</v>
      </c>
      <c r="O4" s="27" t="s">
        <v>69</v>
      </c>
      <c r="P4" s="27" t="s">
        <v>70</v>
      </c>
      <c r="Q4" s="27" t="s">
        <v>40</v>
      </c>
      <c r="R4" s="27" t="s">
        <v>71</v>
      </c>
      <c r="S4" s="27" t="s">
        <v>72</v>
      </c>
      <c r="T4" s="27" t="s">
        <v>74</v>
      </c>
      <c r="U4" s="26" t="s">
        <v>75</v>
      </c>
      <c r="V4" s="26" t="s">
        <v>76</v>
      </c>
      <c r="W4" s="26" t="s">
        <v>77</v>
      </c>
      <c r="X4" s="26" t="s">
        <v>78</v>
      </c>
      <c r="Y4" s="26" t="s">
        <v>79</v>
      </c>
      <c r="Z4" s="26" t="s">
        <v>80</v>
      </c>
      <c r="AA4" s="26" t="s">
        <v>81</v>
      </c>
      <c r="AB4" s="26" t="s">
        <v>82</v>
      </c>
      <c r="AC4" s="26" t="s">
        <v>36</v>
      </c>
      <c r="AD4" s="26" t="s">
        <v>37</v>
      </c>
      <c r="AE4" s="26" t="s">
        <v>38</v>
      </c>
      <c r="AF4" s="26" t="s">
        <v>69</v>
      </c>
      <c r="AG4" s="26" t="s">
        <v>70</v>
      </c>
      <c r="AH4" s="26" t="s">
        <v>40</v>
      </c>
      <c r="AI4" s="26" t="s">
        <v>71</v>
      </c>
      <c r="AJ4" s="26" t="s">
        <v>72</v>
      </c>
      <c r="AK4" s="26" t="s">
        <v>74</v>
      </c>
      <c r="AL4" s="26" t="s">
        <v>83</v>
      </c>
    </row>
    <row r="5" spans="2:38" x14ac:dyDescent="0.3">
      <c r="B5" s="2" t="s">
        <v>4</v>
      </c>
      <c r="C5" s="75">
        <v>5</v>
      </c>
      <c r="D5" s="76"/>
      <c r="E5" s="77"/>
      <c r="H5" s="32"/>
      <c r="I5" s="29"/>
      <c r="J5" s="23"/>
      <c r="K5" s="30"/>
      <c r="L5" s="31"/>
      <c r="M5" s="23"/>
      <c r="N5" s="23"/>
      <c r="O5" s="23"/>
      <c r="P5" s="23"/>
      <c r="Q5" s="23"/>
      <c r="R5" s="23"/>
      <c r="S5" s="23"/>
      <c r="T5" s="32"/>
      <c r="U5" s="29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2:38" x14ac:dyDescent="0.3">
      <c r="B6" s="2" t="s">
        <v>44</v>
      </c>
      <c r="C6" s="65" t="s">
        <v>45</v>
      </c>
      <c r="D6" s="66"/>
      <c r="E6" s="67"/>
      <c r="H6" s="32"/>
      <c r="I6" s="29"/>
      <c r="J6" s="23"/>
      <c r="K6" s="30"/>
      <c r="L6" s="31"/>
      <c r="M6" s="23"/>
      <c r="N6" s="23"/>
      <c r="O6" s="23"/>
      <c r="P6" s="23"/>
      <c r="Q6" s="23"/>
      <c r="R6" s="23"/>
      <c r="S6" s="23"/>
      <c r="T6" s="32"/>
      <c r="U6" s="29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2:38" x14ac:dyDescent="0.3">
      <c r="B7" s="2" t="s">
        <v>5</v>
      </c>
      <c r="C7" s="68" t="s">
        <v>48</v>
      </c>
      <c r="D7" s="68"/>
      <c r="E7" s="68"/>
      <c r="H7" s="32"/>
      <c r="I7" s="29"/>
      <c r="J7" s="23"/>
      <c r="K7" s="30"/>
      <c r="L7" s="31"/>
      <c r="M7" s="23"/>
      <c r="N7" s="23"/>
      <c r="O7" s="23"/>
      <c r="P7" s="23"/>
      <c r="Q7" s="23"/>
      <c r="R7" s="23"/>
      <c r="S7" s="23"/>
      <c r="T7" s="32"/>
      <c r="U7" s="29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spans="2:38" x14ac:dyDescent="0.3">
      <c r="B8" s="2" t="s">
        <v>52</v>
      </c>
      <c r="C8" s="69" t="s">
        <v>60</v>
      </c>
      <c r="D8" s="70"/>
      <c r="E8" s="71"/>
      <c r="H8" s="32"/>
      <c r="I8" s="29"/>
      <c r="J8" s="23"/>
      <c r="K8" s="30"/>
      <c r="L8" s="31"/>
      <c r="M8" s="23"/>
      <c r="N8" s="23"/>
      <c r="O8" s="23"/>
      <c r="P8" s="23"/>
      <c r="Q8" s="23"/>
      <c r="R8" s="23"/>
      <c r="S8" s="23"/>
      <c r="T8" s="32"/>
      <c r="U8" s="29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spans="2:38" ht="16.5" customHeight="1" x14ac:dyDescent="0.3">
      <c r="B9" s="2" t="s">
        <v>6</v>
      </c>
      <c r="C9" s="81" t="s">
        <v>7</v>
      </c>
      <c r="D9" s="81"/>
      <c r="E9" s="81"/>
      <c r="H9" s="32"/>
      <c r="I9" s="29"/>
      <c r="J9" s="23"/>
      <c r="K9" s="30"/>
      <c r="L9" s="31"/>
      <c r="M9" s="23"/>
      <c r="N9" s="23"/>
      <c r="O9" s="23"/>
      <c r="P9" s="23"/>
      <c r="Q9" s="23"/>
      <c r="R9" s="23"/>
      <c r="S9" s="23"/>
      <c r="T9" s="32"/>
      <c r="U9" s="29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spans="2:38" x14ac:dyDescent="0.3">
      <c r="B10" s="47" t="s">
        <v>8</v>
      </c>
      <c r="C10" s="48"/>
      <c r="D10" s="48"/>
      <c r="E10" s="48"/>
      <c r="H10" s="32"/>
      <c r="I10" s="29"/>
      <c r="J10" s="23"/>
      <c r="K10" s="30"/>
      <c r="L10" s="31"/>
      <c r="M10" s="23"/>
      <c r="N10" s="23"/>
      <c r="O10" s="23"/>
      <c r="P10" s="23"/>
      <c r="Q10" s="23"/>
      <c r="R10" s="23"/>
      <c r="S10" s="23"/>
      <c r="T10" s="32"/>
      <c r="U10" s="29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spans="2:38" x14ac:dyDescent="0.3">
      <c r="B11" s="22" t="s">
        <v>9</v>
      </c>
      <c r="C11" s="65" t="s">
        <v>10</v>
      </c>
      <c r="D11" s="66"/>
      <c r="E11" s="67"/>
      <c r="H11" s="32"/>
      <c r="I11" s="29"/>
      <c r="J11" s="23"/>
      <c r="K11" s="30"/>
      <c r="L11" s="31"/>
      <c r="M11" s="23"/>
      <c r="N11" s="23"/>
      <c r="O11" s="23"/>
      <c r="P11" s="23"/>
      <c r="Q11" s="23"/>
      <c r="R11" s="23"/>
      <c r="S11" s="23"/>
      <c r="T11" s="32"/>
      <c r="U11" s="29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2:38" x14ac:dyDescent="0.3">
      <c r="B12" s="22" t="s">
        <v>11</v>
      </c>
      <c r="C12" s="65" t="s">
        <v>12</v>
      </c>
      <c r="D12" s="66"/>
      <c r="E12" s="67"/>
      <c r="H12" s="32"/>
      <c r="I12" s="29"/>
      <c r="J12" s="23"/>
      <c r="K12" s="30"/>
      <c r="L12" s="31"/>
      <c r="M12" s="23"/>
      <c r="N12" s="23"/>
      <c r="O12" s="23"/>
      <c r="P12" s="23"/>
      <c r="Q12" s="23"/>
      <c r="R12" s="23"/>
      <c r="S12" s="23"/>
      <c r="T12" s="32"/>
      <c r="U12" s="29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2:38" x14ac:dyDescent="0.3">
      <c r="B13" s="49" t="s">
        <v>13</v>
      </c>
      <c r="C13" s="65" t="s">
        <v>14</v>
      </c>
      <c r="D13" s="66"/>
      <c r="E13" s="67"/>
      <c r="H13" s="32"/>
      <c r="I13" s="29"/>
      <c r="J13" s="23"/>
      <c r="K13" s="30"/>
      <c r="L13" s="31"/>
      <c r="M13" s="23"/>
      <c r="N13" s="23"/>
      <c r="O13" s="23"/>
      <c r="P13" s="23"/>
      <c r="Q13" s="23"/>
      <c r="R13" s="23"/>
      <c r="S13" s="23"/>
      <c r="T13" s="32"/>
      <c r="U13" s="29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 spans="2:38" x14ac:dyDescent="0.3">
      <c r="B14" s="46"/>
      <c r="C14" s="65" t="s">
        <v>15</v>
      </c>
      <c r="D14" s="66"/>
      <c r="E14" s="67"/>
      <c r="H14" s="32"/>
      <c r="I14" s="29"/>
      <c r="J14" s="23"/>
      <c r="K14" s="30"/>
      <c r="L14" s="31"/>
      <c r="M14" s="23"/>
      <c r="N14" s="23"/>
      <c r="O14" s="23"/>
      <c r="P14" s="23"/>
      <c r="Q14" s="23"/>
      <c r="R14" s="23"/>
      <c r="S14" s="23"/>
      <c r="T14" s="32"/>
      <c r="U14" s="29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 spans="2:38" x14ac:dyDescent="0.3">
      <c r="B15" s="46"/>
      <c r="C15" s="65" t="s">
        <v>16</v>
      </c>
      <c r="D15" s="66"/>
      <c r="E15" s="67"/>
      <c r="H15" s="32"/>
      <c r="I15" s="29"/>
      <c r="J15" s="23"/>
      <c r="K15" s="30"/>
      <c r="L15" s="31"/>
      <c r="M15" s="23"/>
      <c r="N15" s="23"/>
      <c r="O15" s="23"/>
      <c r="P15" s="23"/>
      <c r="Q15" s="23"/>
      <c r="R15" s="23"/>
      <c r="S15" s="23"/>
      <c r="T15" s="32"/>
      <c r="U15" s="29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 spans="2:38" x14ac:dyDescent="0.3">
      <c r="B16" s="46"/>
      <c r="C16" s="65" t="s">
        <v>17</v>
      </c>
      <c r="D16" s="66"/>
      <c r="E16" s="67"/>
      <c r="H16" s="32"/>
      <c r="I16" s="29"/>
      <c r="J16" s="23"/>
      <c r="K16" s="30"/>
      <c r="L16" s="31"/>
      <c r="M16" s="23"/>
      <c r="N16" s="23"/>
      <c r="O16" s="23"/>
      <c r="P16" s="23"/>
      <c r="Q16" s="23"/>
      <c r="R16" s="23"/>
      <c r="S16" s="23"/>
      <c r="T16" s="32"/>
      <c r="U16" s="29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spans="2:38" x14ac:dyDescent="0.3">
      <c r="B17" s="46"/>
      <c r="C17" s="65" t="s">
        <v>18</v>
      </c>
      <c r="D17" s="66"/>
      <c r="E17" s="67"/>
      <c r="H17" s="32"/>
      <c r="I17" s="29"/>
      <c r="J17" s="23"/>
      <c r="K17" s="30"/>
      <c r="L17" s="31"/>
      <c r="M17" s="23"/>
      <c r="N17" s="23"/>
      <c r="O17" s="23"/>
      <c r="P17" s="23"/>
      <c r="Q17" s="23"/>
      <c r="R17" s="23"/>
      <c r="S17" s="23"/>
      <c r="T17" s="32"/>
      <c r="U17" s="29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spans="2:38" x14ac:dyDescent="0.3">
      <c r="B18" s="46"/>
      <c r="C18" s="65" t="s">
        <v>19</v>
      </c>
      <c r="D18" s="66"/>
      <c r="E18" s="67"/>
      <c r="H18" s="32"/>
      <c r="I18" s="29"/>
      <c r="J18" s="23"/>
      <c r="K18" s="30"/>
      <c r="L18" s="31"/>
      <c r="M18" s="23"/>
      <c r="N18" s="23"/>
      <c r="O18" s="23"/>
      <c r="P18" s="23"/>
      <c r="Q18" s="23"/>
      <c r="R18" s="23"/>
      <c r="S18" s="23"/>
      <c r="T18" s="32"/>
      <c r="U18" s="29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2:38" x14ac:dyDescent="0.3">
      <c r="B19" s="46"/>
      <c r="C19" s="65" t="s">
        <v>20</v>
      </c>
      <c r="D19" s="66"/>
      <c r="E19" s="67"/>
      <c r="H19" s="32"/>
      <c r="I19" s="29"/>
      <c r="J19" s="23"/>
      <c r="K19" s="30"/>
      <c r="L19" s="31"/>
      <c r="M19" s="23"/>
      <c r="N19" s="23"/>
      <c r="O19" s="23"/>
      <c r="P19" s="23"/>
      <c r="Q19" s="23"/>
      <c r="R19" s="23"/>
      <c r="S19" s="23"/>
      <c r="T19" s="32"/>
      <c r="U19" s="29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2:38" x14ac:dyDescent="0.3">
      <c r="B20" s="50" t="s">
        <v>21</v>
      </c>
      <c r="C20" s="59" t="s">
        <v>49</v>
      </c>
      <c r="D20" s="60"/>
      <c r="E20" s="61"/>
      <c r="H20" s="32"/>
      <c r="I20" s="29"/>
      <c r="J20" s="23"/>
      <c r="K20" s="30"/>
      <c r="L20" s="31"/>
      <c r="M20" s="23"/>
      <c r="N20" s="23"/>
      <c r="O20" s="23"/>
      <c r="P20" s="23"/>
      <c r="Q20" s="23"/>
      <c r="R20" s="23"/>
      <c r="S20" s="23"/>
      <c r="T20" s="32"/>
      <c r="U20" s="29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2:38" ht="16.5" customHeight="1" x14ac:dyDescent="0.3">
      <c r="B21" s="58"/>
      <c r="C21" s="62"/>
      <c r="D21" s="63"/>
      <c r="E21" s="64"/>
      <c r="H21" s="32"/>
      <c r="I21" s="29"/>
      <c r="J21" s="23"/>
      <c r="K21" s="30"/>
      <c r="L21" s="31"/>
      <c r="M21" s="23"/>
      <c r="N21" s="23"/>
      <c r="O21" s="23"/>
      <c r="P21" s="23"/>
      <c r="Q21" s="23"/>
      <c r="R21" s="23"/>
      <c r="S21" s="23"/>
      <c r="T21" s="32"/>
      <c r="U21" s="29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2:38" x14ac:dyDescent="0.3">
      <c r="B22" s="9" t="s">
        <v>22</v>
      </c>
      <c r="C22" s="35" t="s">
        <v>23</v>
      </c>
      <c r="D22" s="9" t="s">
        <v>55</v>
      </c>
      <c r="E22" s="9" t="s">
        <v>24</v>
      </c>
      <c r="H22" s="32"/>
      <c r="I22" s="29"/>
      <c r="J22" s="23"/>
      <c r="K22" s="30"/>
      <c r="L22" s="31"/>
      <c r="M22" s="23"/>
      <c r="N22" s="23"/>
      <c r="O22" s="23"/>
      <c r="P22" s="23"/>
      <c r="Q22" s="23"/>
      <c r="R22" s="23"/>
      <c r="S22" s="23"/>
      <c r="T22" s="32"/>
      <c r="U22" s="29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2:38" x14ac:dyDescent="0.3">
      <c r="B23" s="10" t="s">
        <v>25</v>
      </c>
      <c r="C23" s="10">
        <v>2</v>
      </c>
      <c r="D23" s="10">
        <v>1</v>
      </c>
      <c r="E23" s="10">
        <v>16</v>
      </c>
      <c r="H23" s="32"/>
      <c r="I23" s="29"/>
      <c r="J23" s="23"/>
      <c r="K23" s="30"/>
      <c r="L23" s="31"/>
      <c r="M23" s="23"/>
      <c r="N23" s="23"/>
      <c r="O23" s="23"/>
      <c r="P23" s="23"/>
      <c r="Q23" s="23"/>
      <c r="R23" s="23"/>
      <c r="S23" s="23"/>
      <c r="T23" s="32"/>
      <c r="U23" s="29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spans="2:38" x14ac:dyDescent="0.3">
      <c r="B24" s="11" t="s">
        <v>26</v>
      </c>
      <c r="C24" s="11">
        <v>4</v>
      </c>
      <c r="D24" s="11">
        <v>1</v>
      </c>
      <c r="E24" s="11">
        <v>4</v>
      </c>
      <c r="H24" s="32"/>
      <c r="I24" s="29"/>
      <c r="J24" s="23"/>
      <c r="K24" s="30"/>
      <c r="L24" s="31"/>
      <c r="M24" s="23"/>
      <c r="N24" s="23"/>
      <c r="O24" s="23"/>
      <c r="P24" s="23"/>
      <c r="Q24" s="23"/>
      <c r="R24" s="23"/>
      <c r="S24" s="23"/>
      <c r="T24" s="32"/>
      <c r="U24" s="29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spans="2:38" x14ac:dyDescent="0.3">
      <c r="B25" s="11" t="s">
        <v>27</v>
      </c>
      <c r="C25" s="11">
        <v>3</v>
      </c>
      <c r="D25" s="11">
        <v>1</v>
      </c>
      <c r="E25" s="11">
        <v>2</v>
      </c>
      <c r="H25" s="32"/>
      <c r="I25" s="29"/>
      <c r="J25" s="23"/>
      <c r="K25" s="30"/>
      <c r="L25" s="31"/>
      <c r="M25" s="23"/>
      <c r="N25" s="23"/>
      <c r="O25" s="23"/>
      <c r="P25" s="23"/>
      <c r="Q25" s="23"/>
      <c r="R25" s="23"/>
      <c r="S25" s="23"/>
      <c r="T25" s="32"/>
      <c r="U25" s="29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spans="2:38" x14ac:dyDescent="0.3">
      <c r="B26" s="11" t="s">
        <v>28</v>
      </c>
      <c r="C26" s="11">
        <v>11</v>
      </c>
      <c r="D26" s="11">
        <v>1</v>
      </c>
      <c r="E26" s="11">
        <v>12</v>
      </c>
      <c r="H26" s="32"/>
      <c r="I26" s="29"/>
      <c r="J26" s="23"/>
      <c r="K26" s="30"/>
      <c r="L26" s="31"/>
      <c r="M26" s="23"/>
      <c r="N26" s="23"/>
      <c r="O26" s="23"/>
      <c r="P26" s="23"/>
      <c r="Q26" s="23"/>
      <c r="R26" s="23"/>
      <c r="S26" s="23"/>
      <c r="T26" s="32"/>
      <c r="U26" s="29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2:38" x14ac:dyDescent="0.3">
      <c r="B27" s="11" t="s">
        <v>29</v>
      </c>
      <c r="C27" s="11">
        <v>12</v>
      </c>
      <c r="D27" s="11">
        <v>1</v>
      </c>
      <c r="E27" s="11">
        <v>23</v>
      </c>
      <c r="H27" s="32"/>
      <c r="I27" s="29"/>
      <c r="J27" s="23"/>
      <c r="K27" s="30"/>
      <c r="L27" s="31"/>
      <c r="M27" s="23"/>
      <c r="N27" s="23"/>
      <c r="O27" s="23"/>
      <c r="P27" s="23"/>
      <c r="Q27" s="23"/>
      <c r="R27" s="23"/>
      <c r="S27" s="23"/>
      <c r="T27" s="32"/>
      <c r="U27" s="29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2:38" x14ac:dyDescent="0.3">
      <c r="B28" s="11" t="s">
        <v>30</v>
      </c>
      <c r="C28" s="11">
        <v>4</v>
      </c>
      <c r="D28" s="11">
        <v>1</v>
      </c>
      <c r="E28" s="11">
        <v>12</v>
      </c>
      <c r="H28" s="32"/>
      <c r="I28" s="29"/>
      <c r="J28" s="23"/>
      <c r="K28" s="30"/>
      <c r="L28" s="31"/>
      <c r="M28" s="23"/>
      <c r="N28" s="23"/>
      <c r="O28" s="23"/>
      <c r="P28" s="23"/>
      <c r="Q28" s="23"/>
      <c r="R28" s="23"/>
      <c r="S28" s="23"/>
      <c r="T28" s="32"/>
      <c r="U28" s="29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 spans="2:38" x14ac:dyDescent="0.3">
      <c r="B29" s="11" t="s">
        <v>31</v>
      </c>
      <c r="C29" s="11">
        <v>6</v>
      </c>
      <c r="D29" s="11">
        <v>45</v>
      </c>
      <c r="E29" s="11">
        <v>3</v>
      </c>
      <c r="H29" s="32"/>
      <c r="I29" s="29"/>
      <c r="J29" s="23"/>
      <c r="K29" s="30"/>
      <c r="L29" s="31"/>
      <c r="M29" s="23"/>
      <c r="N29" s="23"/>
      <c r="O29" s="23"/>
      <c r="P29" s="23"/>
      <c r="Q29" s="23"/>
      <c r="R29" s="23"/>
      <c r="S29" s="23"/>
      <c r="T29" s="32"/>
      <c r="U29" s="29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 spans="2:38" x14ac:dyDescent="0.3">
      <c r="B30" s="11" t="s">
        <v>32</v>
      </c>
      <c r="C30" s="11">
        <v>4</v>
      </c>
      <c r="D30" s="11">
        <v>1</v>
      </c>
      <c r="E30" s="11">
        <v>1</v>
      </c>
      <c r="H30" s="32"/>
      <c r="I30" s="29"/>
      <c r="J30" s="23"/>
      <c r="K30" s="30"/>
      <c r="L30" s="31"/>
      <c r="M30" s="23"/>
      <c r="N30" s="23"/>
      <c r="O30" s="23"/>
      <c r="P30" s="23"/>
      <c r="Q30" s="23"/>
      <c r="R30" s="23"/>
      <c r="S30" s="23"/>
      <c r="T30" s="32"/>
      <c r="U30" s="29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spans="2:38" x14ac:dyDescent="0.3">
      <c r="B31" s="11" t="s">
        <v>33</v>
      </c>
      <c r="C31" s="11">
        <v>6</v>
      </c>
      <c r="D31" s="11">
        <v>1</v>
      </c>
      <c r="E31" s="11">
        <v>1</v>
      </c>
      <c r="H31" s="32"/>
      <c r="I31" s="29"/>
      <c r="J31" s="23"/>
      <c r="K31" s="30"/>
      <c r="L31" s="31"/>
      <c r="M31" s="23"/>
      <c r="N31" s="23"/>
      <c r="O31" s="23"/>
      <c r="P31" s="23"/>
      <c r="Q31" s="23"/>
      <c r="R31" s="23"/>
      <c r="S31" s="23"/>
      <c r="T31" s="32"/>
      <c r="U31" s="29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spans="2:38" x14ac:dyDescent="0.3">
      <c r="B32" s="11" t="s">
        <v>34</v>
      </c>
      <c r="C32" s="11">
        <v>6</v>
      </c>
      <c r="D32" s="11">
        <v>1</v>
      </c>
      <c r="E32" s="11">
        <v>13</v>
      </c>
      <c r="H32" s="32"/>
      <c r="I32" s="29"/>
      <c r="J32" s="23"/>
      <c r="K32" s="30"/>
      <c r="L32" s="31"/>
      <c r="M32" s="23"/>
      <c r="N32" s="23"/>
      <c r="O32" s="23"/>
      <c r="P32" s="23"/>
      <c r="Q32" s="23"/>
      <c r="R32" s="23"/>
      <c r="S32" s="23"/>
      <c r="T32" s="32"/>
      <c r="U32" s="29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spans="2:38" x14ac:dyDescent="0.3">
      <c r="B33" s="47" t="s">
        <v>35</v>
      </c>
      <c r="C33" s="48"/>
      <c r="D33" s="48"/>
      <c r="E33" s="48"/>
      <c r="H33" s="32"/>
      <c r="I33" s="29"/>
      <c r="J33" s="23"/>
      <c r="K33" s="30"/>
      <c r="L33" s="31"/>
      <c r="M33" s="23"/>
      <c r="N33" s="23"/>
      <c r="O33" s="23"/>
      <c r="P33" s="23"/>
      <c r="Q33" s="23"/>
      <c r="R33" s="23"/>
      <c r="S33" s="23"/>
      <c r="T33" s="32"/>
      <c r="U33" s="29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spans="2:38" x14ac:dyDescent="0.3">
      <c r="B34" s="2" t="s">
        <v>50</v>
      </c>
      <c r="C34" s="46" t="s">
        <v>54</v>
      </c>
      <c r="D34" s="46"/>
      <c r="E34" s="46"/>
      <c r="H34" s="32"/>
      <c r="I34" s="29"/>
      <c r="J34" s="23"/>
      <c r="K34" s="30"/>
      <c r="L34" s="31"/>
      <c r="M34" s="23"/>
      <c r="N34" s="23"/>
      <c r="O34" s="23"/>
      <c r="P34" s="23"/>
      <c r="Q34" s="23"/>
      <c r="R34" s="23"/>
      <c r="S34" s="23"/>
      <c r="T34" s="32"/>
      <c r="U34" s="29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 spans="2:38" x14ac:dyDescent="0.3">
      <c r="B35" s="47" t="s">
        <v>88</v>
      </c>
      <c r="C35" s="48"/>
      <c r="D35" s="48"/>
      <c r="E35" s="48"/>
      <c r="H35" s="32"/>
      <c r="I35" s="29"/>
      <c r="J35" s="23"/>
      <c r="K35" s="30"/>
      <c r="L35" s="31"/>
      <c r="M35" s="23"/>
      <c r="N35" s="23"/>
      <c r="O35" s="23"/>
      <c r="P35" s="23"/>
      <c r="Q35" s="23"/>
      <c r="R35" s="23"/>
      <c r="S35" s="23"/>
      <c r="T35" s="32"/>
      <c r="U35" s="29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2:38" x14ac:dyDescent="0.3">
      <c r="B36" s="2" t="s">
        <v>53</v>
      </c>
      <c r="C36" s="49" t="s">
        <v>61</v>
      </c>
      <c r="D36" s="49"/>
      <c r="E36" s="49"/>
      <c r="H36" s="32"/>
      <c r="I36" s="29"/>
      <c r="J36" s="23"/>
      <c r="K36" s="30"/>
      <c r="L36" s="31"/>
      <c r="M36" s="23"/>
      <c r="N36" s="23"/>
      <c r="O36" s="23"/>
      <c r="P36" s="23"/>
      <c r="Q36" s="23"/>
      <c r="R36" s="23"/>
      <c r="S36" s="23"/>
      <c r="T36" s="32"/>
      <c r="U36" s="29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2:38" x14ac:dyDescent="0.3">
      <c r="B37" s="2" t="s">
        <v>56</v>
      </c>
      <c r="C37" s="49" t="s">
        <v>57</v>
      </c>
      <c r="D37" s="49"/>
      <c r="E37" s="49"/>
      <c r="H37" s="32"/>
      <c r="I37" s="29"/>
      <c r="J37" s="23"/>
      <c r="K37" s="30"/>
      <c r="L37" s="31"/>
      <c r="M37" s="23"/>
      <c r="N37" s="23"/>
      <c r="O37" s="23"/>
      <c r="P37" s="23"/>
      <c r="Q37" s="23"/>
      <c r="R37" s="23"/>
      <c r="S37" s="23"/>
      <c r="T37" s="32"/>
      <c r="U37" s="29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2:38" x14ac:dyDescent="0.3">
      <c r="B38" s="2" t="s">
        <v>58</v>
      </c>
      <c r="C38" s="49" t="s">
        <v>57</v>
      </c>
      <c r="D38" s="49"/>
      <c r="E38" s="49"/>
      <c r="H38" s="32"/>
      <c r="I38" s="29"/>
      <c r="J38" s="23"/>
      <c r="K38" s="30"/>
      <c r="L38" s="31"/>
      <c r="M38" s="23"/>
      <c r="N38" s="23"/>
      <c r="O38" s="23"/>
      <c r="P38" s="23"/>
      <c r="Q38" s="23"/>
      <c r="R38" s="23"/>
      <c r="S38" s="23"/>
      <c r="T38" s="32"/>
      <c r="U38" s="29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2:38" x14ac:dyDescent="0.3">
      <c r="B39" s="2" t="s">
        <v>59</v>
      </c>
      <c r="C39" s="49" t="s">
        <v>57</v>
      </c>
      <c r="D39" s="49"/>
      <c r="E39" s="49"/>
      <c r="H39" s="32"/>
      <c r="I39" s="29"/>
      <c r="J39" s="23"/>
      <c r="K39" s="30"/>
      <c r="L39" s="31"/>
      <c r="M39" s="23"/>
      <c r="N39" s="23"/>
      <c r="O39" s="23"/>
      <c r="P39" s="23"/>
      <c r="Q39" s="23"/>
      <c r="R39" s="23"/>
      <c r="S39" s="23"/>
      <c r="T39" s="32"/>
      <c r="U39" s="29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2:38" x14ac:dyDescent="0.3">
      <c r="B40" s="2" t="s">
        <v>89</v>
      </c>
      <c r="C40" s="46" t="s">
        <v>90</v>
      </c>
      <c r="D40" s="46"/>
      <c r="E40" s="46"/>
      <c r="H40" s="32"/>
      <c r="I40" s="29"/>
      <c r="J40" s="23"/>
      <c r="K40" s="30"/>
      <c r="L40" s="31"/>
      <c r="M40" s="23"/>
      <c r="N40" s="23"/>
      <c r="O40" s="23"/>
      <c r="P40" s="23"/>
      <c r="Q40" s="23"/>
      <c r="R40" s="23"/>
      <c r="S40" s="23"/>
      <c r="T40" s="32"/>
      <c r="U40" s="29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2:38" x14ac:dyDescent="0.3">
      <c r="H41" s="32"/>
      <c r="I41" s="29"/>
      <c r="J41" s="23"/>
      <c r="K41" s="30"/>
      <c r="L41" s="31"/>
      <c r="M41" s="23"/>
      <c r="N41" s="23"/>
      <c r="O41" s="23"/>
      <c r="P41" s="23"/>
      <c r="Q41" s="23"/>
      <c r="R41" s="23"/>
      <c r="S41" s="23"/>
      <c r="T41" s="32"/>
      <c r="U41" s="29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2:38" x14ac:dyDescent="0.3">
      <c r="H42" s="32"/>
      <c r="I42" s="29"/>
      <c r="J42" s="23"/>
      <c r="K42" s="30"/>
      <c r="L42" s="31"/>
      <c r="M42" s="23"/>
      <c r="N42" s="23"/>
      <c r="O42" s="23"/>
      <c r="P42" s="23"/>
      <c r="Q42" s="23"/>
      <c r="R42" s="23"/>
      <c r="S42" s="23"/>
      <c r="T42" s="32"/>
      <c r="U42" s="29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2:38" x14ac:dyDescent="0.3">
      <c r="H43" s="32"/>
      <c r="I43" s="29"/>
      <c r="J43" s="23"/>
      <c r="K43" s="30"/>
      <c r="L43" s="31"/>
      <c r="M43" s="23"/>
      <c r="N43" s="23"/>
      <c r="O43" s="23"/>
      <c r="P43" s="23"/>
      <c r="Q43" s="23"/>
      <c r="R43" s="23"/>
      <c r="S43" s="23"/>
      <c r="T43" s="32"/>
      <c r="U43" s="29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2:38" x14ac:dyDescent="0.3">
      <c r="B44" s="37" t="s">
        <v>99</v>
      </c>
      <c r="C44" s="93" t="s">
        <v>94</v>
      </c>
      <c r="D44" s="93" t="s">
        <v>93</v>
      </c>
      <c r="E44" s="37" t="s">
        <v>92</v>
      </c>
      <c r="H44" s="32"/>
      <c r="I44" s="29"/>
      <c r="J44" s="23"/>
      <c r="K44" s="30"/>
      <c r="L44" s="31"/>
      <c r="M44" s="23"/>
      <c r="N44" s="23"/>
      <c r="O44" s="23"/>
      <c r="P44" s="23"/>
      <c r="Q44" s="23"/>
      <c r="R44" s="23"/>
      <c r="S44" s="23"/>
      <c r="T44" s="32"/>
      <c r="U44" s="29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2:38" x14ac:dyDescent="0.3">
      <c r="B45" s="94" t="s">
        <v>95</v>
      </c>
      <c r="C45" s="95"/>
      <c r="D45" s="96"/>
      <c r="E45" s="38">
        <f>1-C45/($C$5*8)</f>
        <v>1</v>
      </c>
      <c r="H45" s="32"/>
      <c r="I45" s="29"/>
      <c r="J45" s="23"/>
      <c r="K45" s="30"/>
      <c r="L45" s="31"/>
      <c r="M45" s="23"/>
      <c r="N45" s="23"/>
      <c r="O45" s="23"/>
      <c r="P45" s="23"/>
      <c r="Q45" s="23"/>
      <c r="R45" s="23"/>
      <c r="S45" s="23"/>
      <c r="T45" s="32"/>
      <c r="U45" s="29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2:38" x14ac:dyDescent="0.3">
      <c r="B46" s="94" t="s">
        <v>96</v>
      </c>
      <c r="C46" s="95">
        <v>36.65</v>
      </c>
      <c r="D46" s="96">
        <v>7917.4229999999998</v>
      </c>
      <c r="E46" s="38">
        <f>1-C46/($C$5*8)</f>
        <v>8.3749999999999991E-2</v>
      </c>
      <c r="H46" s="32"/>
      <c r="I46" s="29"/>
      <c r="J46" s="23"/>
      <c r="K46" s="30"/>
      <c r="L46" s="31"/>
      <c r="M46" s="23"/>
      <c r="N46" s="23"/>
      <c r="O46" s="23"/>
      <c r="P46" s="23"/>
      <c r="Q46" s="23"/>
      <c r="R46" s="23"/>
      <c r="S46" s="23"/>
      <c r="T46" s="32"/>
      <c r="U46" s="29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2:38" x14ac:dyDescent="0.3">
      <c r="H47" s="32"/>
      <c r="I47" s="29"/>
      <c r="J47" s="23"/>
      <c r="K47" s="30"/>
      <c r="L47" s="31"/>
      <c r="M47" s="23"/>
      <c r="N47" s="23"/>
      <c r="O47" s="23"/>
      <c r="P47" s="23"/>
      <c r="Q47" s="23"/>
      <c r="R47" s="23"/>
      <c r="S47" s="23"/>
      <c r="T47" s="32"/>
      <c r="U47" s="29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2:38" x14ac:dyDescent="0.3">
      <c r="H48" s="32"/>
      <c r="I48" s="29"/>
      <c r="J48" s="23"/>
      <c r="K48" s="30"/>
      <c r="L48" s="31"/>
      <c r="M48" s="23"/>
      <c r="N48" s="23"/>
      <c r="O48" s="23"/>
      <c r="P48" s="23"/>
      <c r="Q48" s="23"/>
      <c r="R48" s="23"/>
      <c r="S48" s="23"/>
      <c r="T48" s="32"/>
      <c r="U48" s="29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8:38" x14ac:dyDescent="0.3">
      <c r="H49" s="32"/>
      <c r="I49" s="29"/>
      <c r="J49" s="23"/>
      <c r="K49" s="30"/>
      <c r="L49" s="31"/>
      <c r="M49" s="23"/>
      <c r="N49" s="23"/>
      <c r="O49" s="23"/>
      <c r="P49" s="23"/>
      <c r="Q49" s="23"/>
      <c r="R49" s="23"/>
      <c r="S49" s="23"/>
      <c r="T49" s="32"/>
      <c r="U49" s="29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8:38" x14ac:dyDescent="0.3">
      <c r="H50" s="32"/>
      <c r="I50" s="29"/>
      <c r="J50" s="23"/>
      <c r="K50" s="30"/>
      <c r="L50" s="31"/>
      <c r="M50" s="23"/>
      <c r="N50" s="23"/>
      <c r="O50" s="23"/>
      <c r="P50" s="23"/>
      <c r="Q50" s="23"/>
      <c r="R50" s="23"/>
      <c r="S50" s="23"/>
      <c r="T50" s="32"/>
      <c r="U50" s="29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8:38" x14ac:dyDescent="0.3">
      <c r="H51" s="32"/>
      <c r="I51" s="29"/>
      <c r="J51" s="23"/>
      <c r="K51" s="30"/>
      <c r="L51" s="31"/>
      <c r="M51" s="23"/>
      <c r="N51" s="23"/>
      <c r="O51" s="23"/>
      <c r="P51" s="23"/>
      <c r="Q51" s="23"/>
      <c r="R51" s="23"/>
      <c r="S51" s="23"/>
      <c r="T51" s="32"/>
      <c r="U51" s="29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8:38" x14ac:dyDescent="0.3">
      <c r="H52" s="32"/>
      <c r="I52" s="29"/>
      <c r="J52" s="23"/>
      <c r="K52" s="30"/>
      <c r="L52" s="31"/>
      <c r="M52" s="23"/>
      <c r="N52" s="23"/>
      <c r="O52" s="23"/>
      <c r="P52" s="23"/>
      <c r="Q52" s="23"/>
      <c r="R52" s="23"/>
      <c r="S52" s="23"/>
      <c r="T52" s="32"/>
      <c r="U52" s="29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8:38" x14ac:dyDescent="0.3">
      <c r="H53" s="32"/>
      <c r="I53" s="29"/>
      <c r="J53" s="23"/>
      <c r="K53" s="30"/>
      <c r="L53" s="31"/>
      <c r="M53" s="23"/>
      <c r="N53" s="23"/>
      <c r="O53" s="23"/>
      <c r="P53" s="23"/>
      <c r="Q53" s="23"/>
      <c r="R53" s="23"/>
      <c r="S53" s="23"/>
      <c r="T53" s="32"/>
      <c r="U53" s="29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8:38" x14ac:dyDescent="0.3">
      <c r="H54" s="32"/>
      <c r="I54" s="29"/>
      <c r="J54" s="23"/>
      <c r="K54" s="30"/>
      <c r="L54" s="31"/>
      <c r="M54" s="23"/>
      <c r="N54" s="23"/>
      <c r="O54" s="23"/>
      <c r="P54" s="23"/>
      <c r="Q54" s="23"/>
      <c r="R54" s="23"/>
      <c r="S54" s="23"/>
      <c r="T54" s="32"/>
      <c r="U54" s="29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8:38" x14ac:dyDescent="0.3">
      <c r="H55" s="32"/>
      <c r="I55" s="29"/>
      <c r="J55" s="23"/>
      <c r="K55" s="30"/>
      <c r="L55" s="31"/>
      <c r="M55" s="23"/>
      <c r="N55" s="23"/>
      <c r="O55" s="23"/>
      <c r="P55" s="23"/>
      <c r="Q55" s="23"/>
      <c r="R55" s="23"/>
      <c r="S55" s="23"/>
      <c r="T55" s="32"/>
      <c r="U55" s="29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8:38" x14ac:dyDescent="0.3">
      <c r="H56" s="32"/>
      <c r="I56" s="29"/>
      <c r="J56" s="23"/>
      <c r="K56" s="30"/>
      <c r="L56" s="31"/>
      <c r="M56" s="23"/>
      <c r="N56" s="23"/>
      <c r="O56" s="23"/>
      <c r="P56" s="23"/>
      <c r="Q56" s="23"/>
      <c r="R56" s="23"/>
      <c r="S56" s="23"/>
      <c r="T56" s="32"/>
      <c r="U56" s="29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8:38" x14ac:dyDescent="0.3">
      <c r="H57" s="32"/>
      <c r="I57" s="29"/>
      <c r="J57" s="23"/>
      <c r="K57" s="30"/>
      <c r="L57" s="31"/>
      <c r="M57" s="23"/>
      <c r="N57" s="23"/>
      <c r="O57" s="23"/>
      <c r="P57" s="23"/>
      <c r="Q57" s="23"/>
      <c r="R57" s="23"/>
      <c r="S57" s="23"/>
      <c r="T57" s="32"/>
      <c r="U57" s="29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8:38" x14ac:dyDescent="0.3">
      <c r="H58" s="32"/>
      <c r="I58" s="29"/>
      <c r="J58" s="23"/>
      <c r="K58" s="30"/>
      <c r="L58" s="31"/>
      <c r="M58" s="23"/>
      <c r="N58" s="23"/>
      <c r="O58" s="23"/>
      <c r="P58" s="23"/>
      <c r="Q58" s="23"/>
      <c r="R58" s="23"/>
      <c r="S58" s="23"/>
      <c r="T58" s="32"/>
      <c r="U58" s="29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8:38" x14ac:dyDescent="0.3">
      <c r="H59" s="32"/>
      <c r="I59" s="29"/>
      <c r="J59" s="23"/>
      <c r="K59" s="30"/>
      <c r="L59" s="31"/>
      <c r="M59" s="23"/>
      <c r="N59" s="23"/>
      <c r="O59" s="23"/>
      <c r="P59" s="23"/>
      <c r="Q59" s="23"/>
      <c r="R59" s="23"/>
      <c r="S59" s="23"/>
      <c r="T59" s="32"/>
      <c r="U59" s="29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8:38" x14ac:dyDescent="0.3">
      <c r="H60" s="32"/>
      <c r="I60" s="29"/>
      <c r="J60" s="23"/>
      <c r="K60" s="30"/>
      <c r="L60" s="31"/>
      <c r="M60" s="23"/>
      <c r="N60" s="23"/>
      <c r="O60" s="23"/>
      <c r="P60" s="23"/>
      <c r="Q60" s="23"/>
      <c r="R60" s="23"/>
      <c r="S60" s="23"/>
      <c r="T60" s="32"/>
      <c r="U60" s="29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8:38" x14ac:dyDescent="0.3">
      <c r="H61" s="32"/>
      <c r="I61" s="29"/>
      <c r="J61" s="23"/>
      <c r="K61" s="30"/>
      <c r="L61" s="31"/>
      <c r="M61" s="23"/>
      <c r="N61" s="23"/>
      <c r="O61" s="23"/>
      <c r="P61" s="23"/>
      <c r="Q61" s="23"/>
      <c r="R61" s="23"/>
      <c r="S61" s="23"/>
      <c r="T61" s="32"/>
      <c r="U61" s="29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8:38" x14ac:dyDescent="0.3">
      <c r="H62" s="32"/>
      <c r="I62" s="29"/>
      <c r="J62" s="23"/>
      <c r="K62" s="30"/>
      <c r="L62" s="31"/>
      <c r="M62" s="23"/>
      <c r="N62" s="23"/>
      <c r="O62" s="23"/>
      <c r="P62" s="23"/>
      <c r="Q62" s="23"/>
      <c r="R62" s="23"/>
      <c r="S62" s="23"/>
      <c r="T62" s="32"/>
      <c r="U62" s="29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8:38" x14ac:dyDescent="0.3">
      <c r="H63" s="32"/>
      <c r="I63" s="29"/>
      <c r="J63" s="23"/>
      <c r="K63" s="30"/>
      <c r="L63" s="31"/>
      <c r="M63" s="23"/>
      <c r="N63" s="23"/>
      <c r="O63" s="23"/>
      <c r="P63" s="23"/>
      <c r="Q63" s="23"/>
      <c r="R63" s="23"/>
      <c r="S63" s="23"/>
      <c r="T63" s="32"/>
      <c r="U63" s="29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8:38" x14ac:dyDescent="0.3">
      <c r="H64" s="32"/>
      <c r="I64" s="29"/>
      <c r="J64" s="23"/>
      <c r="K64" s="30"/>
      <c r="L64" s="31"/>
      <c r="M64" s="23"/>
      <c r="N64" s="23"/>
      <c r="O64" s="23"/>
      <c r="P64" s="23"/>
      <c r="Q64" s="23"/>
      <c r="R64" s="23"/>
      <c r="S64" s="23"/>
      <c r="T64" s="32"/>
      <c r="U64" s="29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8:38" x14ac:dyDescent="0.3">
      <c r="H65" s="32"/>
      <c r="I65" s="29"/>
      <c r="J65" s="23"/>
      <c r="K65" s="30"/>
      <c r="L65" s="31"/>
      <c r="M65" s="23"/>
      <c r="N65" s="23"/>
      <c r="O65" s="23"/>
      <c r="P65" s="23"/>
      <c r="Q65" s="23"/>
      <c r="R65" s="23"/>
      <c r="S65" s="23"/>
      <c r="T65" s="32"/>
      <c r="U65" s="29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spans="8:38" x14ac:dyDescent="0.3">
      <c r="H66" s="32"/>
      <c r="I66" s="29"/>
      <c r="J66" s="23"/>
      <c r="K66" s="30"/>
      <c r="L66" s="31"/>
      <c r="M66" s="23"/>
      <c r="N66" s="23"/>
      <c r="O66" s="23"/>
      <c r="P66" s="23"/>
      <c r="Q66" s="23"/>
      <c r="R66" s="23"/>
      <c r="S66" s="23"/>
      <c r="T66" s="32"/>
      <c r="U66" s="29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spans="8:38" x14ac:dyDescent="0.3">
      <c r="H67" s="32"/>
      <c r="I67" s="29"/>
      <c r="J67" s="23"/>
      <c r="K67" s="30"/>
      <c r="L67" s="31"/>
      <c r="M67" s="23"/>
      <c r="N67" s="23"/>
      <c r="O67" s="23"/>
      <c r="P67" s="23"/>
      <c r="Q67" s="23"/>
      <c r="R67" s="23"/>
      <c r="S67" s="23"/>
      <c r="T67" s="32"/>
      <c r="U67" s="29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spans="8:38" x14ac:dyDescent="0.3">
      <c r="H68" s="32"/>
      <c r="I68" s="29"/>
      <c r="J68" s="23"/>
      <c r="K68" s="30"/>
      <c r="L68" s="31"/>
      <c r="M68" s="23"/>
      <c r="N68" s="23"/>
      <c r="O68" s="23"/>
      <c r="P68" s="23"/>
      <c r="Q68" s="23"/>
      <c r="R68" s="23"/>
      <c r="S68" s="23"/>
      <c r="T68" s="32"/>
      <c r="U68" s="29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spans="8:38" x14ac:dyDescent="0.3">
      <c r="H69" s="32"/>
      <c r="I69" s="29"/>
      <c r="J69" s="23"/>
      <c r="K69" s="30"/>
      <c r="L69" s="31"/>
      <c r="M69" s="23"/>
      <c r="N69" s="23"/>
      <c r="O69" s="23"/>
      <c r="P69" s="23"/>
      <c r="Q69" s="23"/>
      <c r="R69" s="23"/>
      <c r="S69" s="23"/>
      <c r="T69" s="32"/>
      <c r="U69" s="29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spans="8:38" x14ac:dyDescent="0.3">
      <c r="H70" s="32"/>
      <c r="I70" s="29"/>
      <c r="J70" s="23"/>
      <c r="K70" s="30"/>
      <c r="L70" s="31"/>
      <c r="M70" s="23"/>
      <c r="N70" s="23"/>
      <c r="O70" s="23"/>
      <c r="P70" s="23"/>
      <c r="Q70" s="23"/>
      <c r="R70" s="23"/>
      <c r="S70" s="23"/>
      <c r="T70" s="32"/>
      <c r="U70" s="29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spans="8:38" x14ac:dyDescent="0.3">
      <c r="H71" s="32"/>
      <c r="I71" s="29"/>
      <c r="J71" s="23"/>
      <c r="K71" s="30"/>
      <c r="L71" s="31"/>
      <c r="M71" s="23"/>
      <c r="N71" s="23"/>
      <c r="O71" s="23"/>
      <c r="P71" s="23"/>
      <c r="Q71" s="23"/>
      <c r="R71" s="23"/>
      <c r="S71" s="23"/>
      <c r="T71" s="32"/>
      <c r="U71" s="29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spans="8:38" x14ac:dyDescent="0.3">
      <c r="H72" s="32"/>
      <c r="I72" s="29"/>
      <c r="J72" s="23"/>
      <c r="K72" s="30"/>
      <c r="L72" s="31"/>
      <c r="M72" s="23"/>
      <c r="N72" s="23"/>
      <c r="O72" s="23"/>
      <c r="P72" s="23"/>
      <c r="Q72" s="23"/>
      <c r="R72" s="23"/>
      <c r="S72" s="23"/>
      <c r="T72" s="32"/>
      <c r="U72" s="29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spans="8:38" x14ac:dyDescent="0.3">
      <c r="H73" s="32"/>
      <c r="I73" s="29"/>
      <c r="J73" s="23"/>
      <c r="K73" s="30"/>
      <c r="L73" s="31"/>
      <c r="M73" s="23"/>
      <c r="N73" s="23"/>
      <c r="O73" s="23"/>
      <c r="P73" s="23"/>
      <c r="Q73" s="23"/>
      <c r="R73" s="23"/>
      <c r="S73" s="23"/>
      <c r="T73" s="32"/>
      <c r="U73" s="29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</row>
    <row r="74" spans="8:38" x14ac:dyDescent="0.3">
      <c r="H74" s="32"/>
      <c r="I74" s="29"/>
      <c r="J74" s="23"/>
      <c r="K74" s="30"/>
      <c r="L74" s="31"/>
      <c r="M74" s="23"/>
      <c r="N74" s="23"/>
      <c r="O74" s="23"/>
      <c r="P74" s="23"/>
      <c r="Q74" s="23"/>
      <c r="R74" s="23"/>
      <c r="S74" s="23"/>
      <c r="T74" s="32"/>
      <c r="U74" s="29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</row>
    <row r="75" spans="8:38" x14ac:dyDescent="0.3">
      <c r="H75" s="32"/>
      <c r="I75" s="29"/>
      <c r="J75" s="23"/>
      <c r="K75" s="30"/>
      <c r="L75" s="31"/>
      <c r="M75" s="23"/>
      <c r="N75" s="23"/>
      <c r="O75" s="23"/>
      <c r="P75" s="23"/>
      <c r="Q75" s="23"/>
      <c r="R75" s="23"/>
      <c r="S75" s="23"/>
      <c r="T75" s="32"/>
      <c r="U75" s="29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</row>
    <row r="76" spans="8:38" x14ac:dyDescent="0.3">
      <c r="H76" s="32"/>
      <c r="I76" s="29"/>
      <c r="J76" s="23"/>
      <c r="K76" s="30"/>
      <c r="L76" s="31"/>
      <c r="M76" s="23"/>
      <c r="N76" s="23"/>
      <c r="O76" s="23"/>
      <c r="P76" s="23"/>
      <c r="Q76" s="23"/>
      <c r="R76" s="23"/>
      <c r="S76" s="23"/>
      <c r="T76" s="32"/>
      <c r="U76" s="29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</row>
    <row r="77" spans="8:38" x14ac:dyDescent="0.3">
      <c r="H77" s="32"/>
      <c r="I77" s="29"/>
      <c r="J77" s="23"/>
      <c r="K77" s="30"/>
      <c r="L77" s="31"/>
      <c r="M77" s="23"/>
      <c r="N77" s="23"/>
      <c r="O77" s="23"/>
      <c r="P77" s="23"/>
      <c r="Q77" s="23"/>
      <c r="R77" s="23"/>
      <c r="S77" s="23"/>
      <c r="T77" s="32"/>
      <c r="U77" s="29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</row>
    <row r="78" spans="8:38" x14ac:dyDescent="0.3">
      <c r="H78" s="32"/>
      <c r="I78" s="29"/>
      <c r="J78" s="23"/>
      <c r="K78" s="30"/>
      <c r="L78" s="31"/>
      <c r="M78" s="23"/>
      <c r="N78" s="23"/>
      <c r="O78" s="23"/>
      <c r="P78" s="23"/>
      <c r="Q78" s="23"/>
      <c r="R78" s="23"/>
      <c r="S78" s="23"/>
      <c r="T78" s="32"/>
      <c r="U78" s="29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</row>
    <row r="81" spans="8:38" x14ac:dyDescent="0.3">
      <c r="H81" s="91" t="s">
        <v>96</v>
      </c>
    </row>
    <row r="82" spans="8:38" x14ac:dyDescent="0.3">
      <c r="H82" s="90" t="s">
        <v>62</v>
      </c>
      <c r="I82" s="78" t="s">
        <v>63</v>
      </c>
      <c r="J82" s="78"/>
      <c r="K82" s="78"/>
      <c r="L82" s="80" t="s">
        <v>64</v>
      </c>
      <c r="M82" s="80"/>
      <c r="N82" s="80"/>
      <c r="O82" s="80"/>
      <c r="P82" s="80"/>
      <c r="Q82" s="80"/>
      <c r="R82" s="80"/>
      <c r="S82" s="80"/>
      <c r="T82" s="80"/>
      <c r="U82" s="78" t="s">
        <v>65</v>
      </c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</row>
    <row r="83" spans="8:38" x14ac:dyDescent="0.3">
      <c r="H83" s="79"/>
      <c r="I83" s="26" t="s">
        <v>66</v>
      </c>
      <c r="J83" s="26" t="s">
        <v>67</v>
      </c>
      <c r="K83" s="26" t="s">
        <v>68</v>
      </c>
      <c r="L83" s="27" t="s">
        <v>36</v>
      </c>
      <c r="M83" s="27" t="s">
        <v>37</v>
      </c>
      <c r="N83" s="27" t="s">
        <v>38</v>
      </c>
      <c r="O83" s="27" t="s">
        <v>69</v>
      </c>
      <c r="P83" s="27" t="s">
        <v>70</v>
      </c>
      <c r="Q83" s="27" t="s">
        <v>40</v>
      </c>
      <c r="R83" s="27" t="s">
        <v>71</v>
      </c>
      <c r="S83" s="27" t="s">
        <v>72</v>
      </c>
      <c r="T83" s="27" t="s">
        <v>74</v>
      </c>
      <c r="U83" s="26" t="s">
        <v>75</v>
      </c>
      <c r="V83" s="26" t="s">
        <v>76</v>
      </c>
      <c r="W83" s="26" t="s">
        <v>77</v>
      </c>
      <c r="X83" s="26" t="s">
        <v>78</v>
      </c>
      <c r="Y83" s="26" t="s">
        <v>79</v>
      </c>
      <c r="Z83" s="26" t="s">
        <v>80</v>
      </c>
      <c r="AA83" s="26" t="s">
        <v>81</v>
      </c>
      <c r="AB83" s="26" t="s">
        <v>82</v>
      </c>
      <c r="AC83" s="26" t="s">
        <v>36</v>
      </c>
      <c r="AD83" s="26" t="s">
        <v>37</v>
      </c>
      <c r="AE83" s="26" t="s">
        <v>38</v>
      </c>
      <c r="AF83" s="26" t="s">
        <v>69</v>
      </c>
      <c r="AG83" s="26" t="s">
        <v>70</v>
      </c>
      <c r="AH83" s="26" t="s">
        <v>40</v>
      </c>
      <c r="AI83" s="26" t="s">
        <v>71</v>
      </c>
      <c r="AJ83" s="26" t="s">
        <v>72</v>
      </c>
      <c r="AK83" s="26" t="s">
        <v>74</v>
      </c>
      <c r="AL83" s="26" t="s">
        <v>83</v>
      </c>
    </row>
    <row r="84" spans="8:38" x14ac:dyDescent="0.3">
      <c r="H84" s="32">
        <v>0</v>
      </c>
      <c r="I84" s="29">
        <v>0</v>
      </c>
      <c r="J84" s="23">
        <v>0</v>
      </c>
      <c r="K84" s="30">
        <v>0</v>
      </c>
      <c r="L84" s="31">
        <v>0</v>
      </c>
      <c r="M84" s="23">
        <v>0</v>
      </c>
      <c r="N84" s="23">
        <v>1.67E-2</v>
      </c>
      <c r="O84" s="23">
        <v>0</v>
      </c>
      <c r="P84" s="23">
        <v>0</v>
      </c>
      <c r="Q84" s="23">
        <v>0.5</v>
      </c>
      <c r="R84" s="23">
        <v>0.5</v>
      </c>
      <c r="S84" s="23">
        <v>0.5</v>
      </c>
      <c r="T84" s="32">
        <v>0.5</v>
      </c>
      <c r="U84" s="29">
        <v>53.5</v>
      </c>
      <c r="V84" s="23">
        <v>1.47E-2</v>
      </c>
      <c r="W84" s="23">
        <v>0.56610000000000005</v>
      </c>
      <c r="X84" s="23">
        <v>0.73329999999999995</v>
      </c>
      <c r="Y84" s="23">
        <v>5.6261000000000001</v>
      </c>
      <c r="Z84" s="23">
        <v>54.948900000000002</v>
      </c>
      <c r="AA84" s="23">
        <v>3.6700000000000003E-2</v>
      </c>
      <c r="AB84" s="23">
        <v>0.1933</v>
      </c>
      <c r="AC84" s="23">
        <v>0.2482</v>
      </c>
      <c r="AD84" s="23">
        <v>0</v>
      </c>
      <c r="AE84" s="23">
        <v>0</v>
      </c>
      <c r="AF84" s="23">
        <v>1.5859000000000001</v>
      </c>
      <c r="AG84" s="23">
        <v>1.3129999999999999</v>
      </c>
      <c r="AH84" s="23">
        <v>0</v>
      </c>
      <c r="AI84" s="23">
        <v>0</v>
      </c>
      <c r="AJ84" s="23">
        <v>0</v>
      </c>
      <c r="AK84" s="23">
        <v>0</v>
      </c>
      <c r="AL84" s="23">
        <f t="shared" ref="AL84:AL147" si="0">SUM(U84:AK84)</f>
        <v>118.76619999999998</v>
      </c>
    </row>
    <row r="85" spans="8:38" x14ac:dyDescent="0.3">
      <c r="H85" s="32">
        <v>0.5</v>
      </c>
      <c r="I85" s="29">
        <v>0</v>
      </c>
      <c r="J85" s="23">
        <v>0</v>
      </c>
      <c r="K85" s="30">
        <v>0</v>
      </c>
      <c r="L85" s="31">
        <v>0</v>
      </c>
      <c r="M85" s="23">
        <v>0</v>
      </c>
      <c r="N85" s="23">
        <v>0</v>
      </c>
      <c r="O85" s="23">
        <v>0</v>
      </c>
      <c r="P85" s="23">
        <v>0.19750000000000001</v>
      </c>
      <c r="Q85" s="23">
        <v>0.5</v>
      </c>
      <c r="R85" s="23">
        <v>0.5</v>
      </c>
      <c r="S85" s="23">
        <v>0.5</v>
      </c>
      <c r="T85" s="32">
        <v>0.5</v>
      </c>
      <c r="U85" s="29">
        <v>53.5</v>
      </c>
      <c r="V85" s="23">
        <v>1.8499999999999999E-2</v>
      </c>
      <c r="W85" s="23">
        <v>0.70960000000000001</v>
      </c>
      <c r="X85" s="23">
        <v>0.9254</v>
      </c>
      <c r="Y85" s="23">
        <v>6.7752999999999997</v>
      </c>
      <c r="Z85" s="23">
        <v>58.956600000000002</v>
      </c>
      <c r="AA85" s="23">
        <v>4.6300000000000001E-2</v>
      </c>
      <c r="AB85" s="23">
        <v>0.24399999999999999</v>
      </c>
      <c r="AC85" s="23">
        <v>0.2482</v>
      </c>
      <c r="AD85" s="23">
        <v>0</v>
      </c>
      <c r="AE85" s="23">
        <v>0</v>
      </c>
      <c r="AF85" s="23">
        <v>2.3546999999999998</v>
      </c>
      <c r="AG85" s="23">
        <v>0.89500000000000002</v>
      </c>
      <c r="AH85" s="23">
        <v>0</v>
      </c>
      <c r="AI85" s="23">
        <v>0</v>
      </c>
      <c r="AJ85" s="23">
        <v>0</v>
      </c>
      <c r="AK85" s="23">
        <v>0</v>
      </c>
      <c r="AL85" s="23">
        <f t="shared" si="0"/>
        <v>124.67359999999999</v>
      </c>
    </row>
    <row r="86" spans="8:38" x14ac:dyDescent="0.3">
      <c r="H86" s="32">
        <v>1</v>
      </c>
      <c r="I86" s="29">
        <v>0</v>
      </c>
      <c r="J86" s="23">
        <v>0</v>
      </c>
      <c r="K86" s="30">
        <v>0</v>
      </c>
      <c r="L86" s="31">
        <v>0</v>
      </c>
      <c r="M86" s="23">
        <v>0</v>
      </c>
      <c r="N86" s="23">
        <v>0</v>
      </c>
      <c r="O86" s="23">
        <v>0</v>
      </c>
      <c r="P86" s="23">
        <v>7.5200000000000003E-2</v>
      </c>
      <c r="Q86" s="23">
        <v>0.5</v>
      </c>
      <c r="R86" s="23">
        <v>0.5</v>
      </c>
      <c r="S86" s="23">
        <v>0.5</v>
      </c>
      <c r="T86" s="32">
        <v>0.5</v>
      </c>
      <c r="U86" s="29">
        <v>53.5</v>
      </c>
      <c r="V86" s="23">
        <v>1.8200000000000001E-2</v>
      </c>
      <c r="W86" s="23">
        <v>0.69650000000000001</v>
      </c>
      <c r="X86" s="23">
        <v>0.90790000000000004</v>
      </c>
      <c r="Y86" s="23">
        <v>6.6707999999999998</v>
      </c>
      <c r="Z86" s="23">
        <v>58.592300000000002</v>
      </c>
      <c r="AA86" s="23">
        <v>4.5400000000000003E-2</v>
      </c>
      <c r="AB86" s="23">
        <v>0.2394</v>
      </c>
      <c r="AC86" s="23">
        <v>0.2482</v>
      </c>
      <c r="AD86" s="23">
        <v>0</v>
      </c>
      <c r="AE86" s="23">
        <v>0</v>
      </c>
      <c r="AF86" s="23">
        <v>2.0274000000000001</v>
      </c>
      <c r="AG86" s="23">
        <v>2.3824999999999998</v>
      </c>
      <c r="AH86" s="23">
        <v>0</v>
      </c>
      <c r="AI86" s="23">
        <v>0</v>
      </c>
      <c r="AJ86" s="23">
        <v>0</v>
      </c>
      <c r="AK86" s="23">
        <v>0</v>
      </c>
      <c r="AL86" s="23">
        <f t="shared" si="0"/>
        <v>125.32859999999999</v>
      </c>
    </row>
    <row r="87" spans="8:38" x14ac:dyDescent="0.3">
      <c r="H87" s="32">
        <v>1.5</v>
      </c>
      <c r="I87" s="29">
        <v>0</v>
      </c>
      <c r="J87" s="23">
        <v>0</v>
      </c>
      <c r="K87" s="30">
        <v>0</v>
      </c>
      <c r="L87" s="31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0.5</v>
      </c>
      <c r="R87" s="23">
        <v>0.5</v>
      </c>
      <c r="S87" s="23">
        <v>0.5</v>
      </c>
      <c r="T87" s="32">
        <v>0.5</v>
      </c>
      <c r="U87" s="29">
        <v>53.5</v>
      </c>
      <c r="V87" s="23">
        <v>1.4999999999999999E-2</v>
      </c>
      <c r="W87" s="23">
        <v>0.57909999999999995</v>
      </c>
      <c r="X87" s="23">
        <v>0.75080000000000002</v>
      </c>
      <c r="Y87" s="23">
        <v>5.7305000000000001</v>
      </c>
      <c r="Z87" s="23">
        <v>55.313200000000002</v>
      </c>
      <c r="AA87" s="23">
        <v>3.7499999999999999E-2</v>
      </c>
      <c r="AB87" s="23">
        <v>0.19789999999999999</v>
      </c>
      <c r="AC87" s="23">
        <v>0.2482</v>
      </c>
      <c r="AD87" s="23">
        <v>0</v>
      </c>
      <c r="AE87" s="23">
        <v>0</v>
      </c>
      <c r="AF87" s="23">
        <v>1.8273999999999999</v>
      </c>
      <c r="AG87" s="23">
        <v>2.5960000000000001</v>
      </c>
      <c r="AH87" s="23">
        <v>0</v>
      </c>
      <c r="AI87" s="23">
        <v>0</v>
      </c>
      <c r="AJ87" s="23">
        <v>0</v>
      </c>
      <c r="AK87" s="23">
        <v>0</v>
      </c>
      <c r="AL87" s="23">
        <f t="shared" si="0"/>
        <v>120.79559999999999</v>
      </c>
    </row>
    <row r="88" spans="8:38" x14ac:dyDescent="0.3">
      <c r="H88" s="32">
        <v>2</v>
      </c>
      <c r="I88" s="29">
        <v>0</v>
      </c>
      <c r="J88" s="23">
        <v>0</v>
      </c>
      <c r="K88" s="30">
        <v>0</v>
      </c>
      <c r="L88" s="31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0.5</v>
      </c>
      <c r="R88" s="23">
        <v>0.5</v>
      </c>
      <c r="S88" s="23">
        <v>0.5</v>
      </c>
      <c r="T88" s="32">
        <v>0.5</v>
      </c>
      <c r="U88" s="29">
        <v>53.5</v>
      </c>
      <c r="V88" s="23">
        <v>2.1700000000000001E-2</v>
      </c>
      <c r="W88" s="23">
        <v>0.82699999999999996</v>
      </c>
      <c r="X88" s="23">
        <v>1.0825</v>
      </c>
      <c r="Y88" s="23">
        <v>7.7154999999999996</v>
      </c>
      <c r="Z88" s="23">
        <v>62.235700000000001</v>
      </c>
      <c r="AA88" s="23">
        <v>5.4100000000000002E-2</v>
      </c>
      <c r="AB88" s="23">
        <v>0.28539999999999999</v>
      </c>
      <c r="AC88" s="23">
        <v>0.2482</v>
      </c>
      <c r="AD88" s="23">
        <v>0</v>
      </c>
      <c r="AE88" s="23">
        <v>0</v>
      </c>
      <c r="AF88" s="23">
        <v>1.6739999999999999</v>
      </c>
      <c r="AG88" s="23">
        <v>2.4832999999999998</v>
      </c>
      <c r="AH88" s="23">
        <v>0</v>
      </c>
      <c r="AI88" s="23">
        <v>0</v>
      </c>
      <c r="AJ88" s="23">
        <v>0</v>
      </c>
      <c r="AK88" s="23">
        <v>0</v>
      </c>
      <c r="AL88" s="23">
        <f t="shared" si="0"/>
        <v>130.12740000000002</v>
      </c>
    </row>
    <row r="89" spans="8:38" x14ac:dyDescent="0.3">
      <c r="H89" s="32">
        <v>2.5</v>
      </c>
      <c r="I89" s="29">
        <v>0</v>
      </c>
      <c r="J89" s="23">
        <v>0</v>
      </c>
      <c r="K89" s="30">
        <v>0</v>
      </c>
      <c r="L89" s="31">
        <v>0</v>
      </c>
      <c r="M89" s="23">
        <v>0</v>
      </c>
      <c r="N89" s="23">
        <v>0</v>
      </c>
      <c r="O89" s="23">
        <v>0</v>
      </c>
      <c r="P89" s="23">
        <v>0.18329999999999999</v>
      </c>
      <c r="Q89" s="23">
        <v>0.5</v>
      </c>
      <c r="R89" s="23">
        <v>0.5</v>
      </c>
      <c r="S89" s="23">
        <v>0.5</v>
      </c>
      <c r="T89" s="32">
        <v>0.5</v>
      </c>
      <c r="U89" s="29">
        <v>53.5</v>
      </c>
      <c r="V89" s="23">
        <v>1.47E-2</v>
      </c>
      <c r="W89" s="23">
        <v>0.56610000000000005</v>
      </c>
      <c r="X89" s="23">
        <v>0.73329999999999995</v>
      </c>
      <c r="Y89" s="23">
        <v>5.6261000000000001</v>
      </c>
      <c r="Z89" s="23">
        <v>54.948900000000002</v>
      </c>
      <c r="AA89" s="23">
        <v>3.6700000000000003E-2</v>
      </c>
      <c r="AB89" s="23">
        <v>0.1933</v>
      </c>
      <c r="AC89" s="23">
        <v>0.2482</v>
      </c>
      <c r="AD89" s="23">
        <v>0</v>
      </c>
      <c r="AE89" s="23">
        <v>0</v>
      </c>
      <c r="AF89" s="23">
        <v>1.6909000000000001</v>
      </c>
      <c r="AG89" s="23">
        <v>1.3574999999999999</v>
      </c>
      <c r="AH89" s="23">
        <v>0</v>
      </c>
      <c r="AI89" s="23">
        <v>0</v>
      </c>
      <c r="AJ89" s="23">
        <v>0</v>
      </c>
      <c r="AK89" s="23">
        <v>0</v>
      </c>
      <c r="AL89" s="23">
        <f t="shared" si="0"/>
        <v>118.91569999999999</v>
      </c>
    </row>
    <row r="90" spans="8:38" x14ac:dyDescent="0.3">
      <c r="H90" s="32">
        <v>3</v>
      </c>
      <c r="I90" s="29">
        <v>0</v>
      </c>
      <c r="J90" s="23">
        <v>0</v>
      </c>
      <c r="K90" s="30">
        <v>0</v>
      </c>
      <c r="L90" s="31">
        <v>0</v>
      </c>
      <c r="M90" s="23">
        <v>0</v>
      </c>
      <c r="N90" s="23">
        <v>0</v>
      </c>
      <c r="O90" s="23">
        <v>0</v>
      </c>
      <c r="P90" s="23">
        <v>3.5499999999999997E-2</v>
      </c>
      <c r="Q90" s="23">
        <v>0.49919999999999998</v>
      </c>
      <c r="R90" s="23">
        <v>0.5</v>
      </c>
      <c r="S90" s="23">
        <v>0.5</v>
      </c>
      <c r="T90" s="32">
        <v>0.5</v>
      </c>
      <c r="U90" s="29">
        <v>53.5</v>
      </c>
      <c r="V90" s="23">
        <v>2.1999999999999999E-2</v>
      </c>
      <c r="W90" s="23">
        <v>0.84</v>
      </c>
      <c r="X90" s="23">
        <v>1.1000000000000001</v>
      </c>
      <c r="Y90" s="23">
        <v>7.82</v>
      </c>
      <c r="Z90" s="23">
        <v>62.6</v>
      </c>
      <c r="AA90" s="23">
        <v>5.5E-2</v>
      </c>
      <c r="AB90" s="23">
        <v>0.28999999999999998</v>
      </c>
      <c r="AC90" s="23">
        <v>0.24990000000000001</v>
      </c>
      <c r="AD90" s="23">
        <v>0</v>
      </c>
      <c r="AE90" s="23">
        <v>0</v>
      </c>
      <c r="AF90" s="23">
        <v>2.9016000000000002</v>
      </c>
      <c r="AG90" s="23">
        <v>3.0943999999999998</v>
      </c>
      <c r="AH90" s="23">
        <v>6.59E-2</v>
      </c>
      <c r="AI90" s="23">
        <v>0</v>
      </c>
      <c r="AJ90" s="23">
        <v>0</v>
      </c>
      <c r="AK90" s="23">
        <v>0</v>
      </c>
      <c r="AL90" s="23">
        <f t="shared" si="0"/>
        <v>132.53880000000001</v>
      </c>
    </row>
    <row r="91" spans="8:38" x14ac:dyDescent="0.3">
      <c r="H91" s="32">
        <v>3.5</v>
      </c>
      <c r="I91" s="29">
        <v>0</v>
      </c>
      <c r="J91" s="23">
        <v>0</v>
      </c>
      <c r="K91" s="30">
        <v>0</v>
      </c>
      <c r="L91" s="31">
        <v>0</v>
      </c>
      <c r="M91" s="23">
        <v>0</v>
      </c>
      <c r="N91" s="23">
        <v>0</v>
      </c>
      <c r="O91" s="23">
        <v>0</v>
      </c>
      <c r="P91" s="23">
        <v>0.30940000000000001</v>
      </c>
      <c r="Q91" s="23">
        <v>0.16750000000000001</v>
      </c>
      <c r="R91" s="23">
        <v>0.5</v>
      </c>
      <c r="S91" s="23">
        <v>0.5</v>
      </c>
      <c r="T91" s="32">
        <v>0.5</v>
      </c>
      <c r="U91" s="29">
        <v>53.5</v>
      </c>
      <c r="V91" s="23">
        <v>1.47E-2</v>
      </c>
      <c r="W91" s="23">
        <v>0.56610000000000005</v>
      </c>
      <c r="X91" s="23">
        <v>0.73329999999999995</v>
      </c>
      <c r="Y91" s="23">
        <v>5.6261000000000001</v>
      </c>
      <c r="Z91" s="23">
        <v>54.948900000000002</v>
      </c>
      <c r="AA91" s="23">
        <v>3.6700000000000003E-2</v>
      </c>
      <c r="AB91" s="23">
        <v>0.1933</v>
      </c>
      <c r="AC91" s="23">
        <v>0.2482</v>
      </c>
      <c r="AD91" s="23">
        <v>0</v>
      </c>
      <c r="AE91" s="23">
        <v>0</v>
      </c>
      <c r="AF91" s="23">
        <v>2.1516999999999999</v>
      </c>
      <c r="AG91" s="23">
        <v>1.4428000000000001</v>
      </c>
      <c r="AH91" s="23">
        <v>26.302099999999999</v>
      </c>
      <c r="AI91" s="23">
        <v>0</v>
      </c>
      <c r="AJ91" s="23">
        <v>0</v>
      </c>
      <c r="AK91" s="23">
        <v>0</v>
      </c>
      <c r="AL91" s="23">
        <f t="shared" si="0"/>
        <v>145.76390000000001</v>
      </c>
    </row>
    <row r="92" spans="8:38" x14ac:dyDescent="0.3">
      <c r="H92" s="32">
        <v>4</v>
      </c>
      <c r="I92" s="29">
        <v>0</v>
      </c>
      <c r="J92" s="23">
        <v>0</v>
      </c>
      <c r="K92" s="30">
        <v>0</v>
      </c>
      <c r="L92" s="31">
        <v>0</v>
      </c>
      <c r="M92" s="23">
        <v>0</v>
      </c>
      <c r="N92" s="23">
        <v>0</v>
      </c>
      <c r="O92" s="23">
        <v>0</v>
      </c>
      <c r="P92" s="23">
        <v>0.34300000000000003</v>
      </c>
      <c r="Q92" s="23">
        <v>0.5</v>
      </c>
      <c r="R92" s="23">
        <v>0.48599999999999999</v>
      </c>
      <c r="S92" s="23">
        <v>0.5</v>
      </c>
      <c r="T92" s="32">
        <v>0.5</v>
      </c>
      <c r="U92" s="29">
        <v>53.5</v>
      </c>
      <c r="V92" s="23">
        <v>2.1999999999999999E-2</v>
      </c>
      <c r="W92" s="23">
        <v>0.84</v>
      </c>
      <c r="X92" s="23">
        <v>1.1000000000000001</v>
      </c>
      <c r="Y92" s="23">
        <v>7.82</v>
      </c>
      <c r="Z92" s="23">
        <v>62.6</v>
      </c>
      <c r="AA92" s="23">
        <v>5.5E-2</v>
      </c>
      <c r="AB92" s="23">
        <v>0.28999999999999998</v>
      </c>
      <c r="AC92" s="23">
        <v>0.20069999999999999</v>
      </c>
      <c r="AD92" s="23">
        <v>0</v>
      </c>
      <c r="AE92" s="23">
        <v>0</v>
      </c>
      <c r="AF92" s="23">
        <v>2.6006999999999998</v>
      </c>
      <c r="AG92" s="23">
        <v>1.0071000000000001</v>
      </c>
      <c r="AH92" s="23">
        <v>0</v>
      </c>
      <c r="AI92" s="23">
        <v>0.73399999999999999</v>
      </c>
      <c r="AJ92" s="23">
        <v>0</v>
      </c>
      <c r="AK92" s="23">
        <v>0</v>
      </c>
      <c r="AL92" s="23">
        <f t="shared" si="0"/>
        <v>130.76950000000002</v>
      </c>
    </row>
    <row r="93" spans="8:38" x14ac:dyDescent="0.3">
      <c r="H93" s="32">
        <v>4.5</v>
      </c>
      <c r="I93" s="29">
        <v>0</v>
      </c>
      <c r="J93" s="23">
        <v>0</v>
      </c>
      <c r="K93" s="30">
        <v>0</v>
      </c>
      <c r="L93" s="31">
        <v>0</v>
      </c>
      <c r="M93" s="23">
        <v>0</v>
      </c>
      <c r="N93" s="23">
        <v>0</v>
      </c>
      <c r="O93" s="23">
        <v>0</v>
      </c>
      <c r="P93" s="23">
        <v>0.41070000000000001</v>
      </c>
      <c r="Q93" s="23">
        <v>0.5</v>
      </c>
      <c r="R93" s="23">
        <v>0.46589999999999998</v>
      </c>
      <c r="S93" s="23">
        <v>0.5</v>
      </c>
      <c r="T93" s="32">
        <v>0.5</v>
      </c>
      <c r="U93" s="29">
        <v>53.5</v>
      </c>
      <c r="V93" s="23">
        <v>9.1999999999999998E-3</v>
      </c>
      <c r="W93" s="23">
        <v>0.35299999999999998</v>
      </c>
      <c r="X93" s="23">
        <v>0.45829999999999999</v>
      </c>
      <c r="Y93" s="23">
        <v>3.4647000000000001</v>
      </c>
      <c r="Z93" s="23">
        <v>32.691099999999999</v>
      </c>
      <c r="AA93" s="23">
        <v>2.29E-2</v>
      </c>
      <c r="AB93" s="23">
        <v>0.1208</v>
      </c>
      <c r="AC93" s="23">
        <v>0.19889999999999999</v>
      </c>
      <c r="AD93" s="23">
        <v>0</v>
      </c>
      <c r="AE93" s="23">
        <v>0</v>
      </c>
      <c r="AF93" s="23">
        <v>1.8079000000000001</v>
      </c>
      <c r="AG93" s="23">
        <v>0.54010000000000002</v>
      </c>
      <c r="AH93" s="23">
        <v>0</v>
      </c>
      <c r="AI93" s="23">
        <v>1.7904</v>
      </c>
      <c r="AJ93" s="23">
        <v>0</v>
      </c>
      <c r="AK93" s="23">
        <v>0</v>
      </c>
      <c r="AL93" s="23">
        <f t="shared" si="0"/>
        <v>94.957300000000018</v>
      </c>
    </row>
    <row r="94" spans="8:38" x14ac:dyDescent="0.3">
      <c r="H94" s="32">
        <v>5</v>
      </c>
      <c r="I94" s="29">
        <v>0</v>
      </c>
      <c r="J94" s="23">
        <v>0</v>
      </c>
      <c r="K94" s="30">
        <v>0</v>
      </c>
      <c r="L94" s="31">
        <v>0</v>
      </c>
      <c r="M94" s="23">
        <v>0</v>
      </c>
      <c r="N94" s="23">
        <v>0</v>
      </c>
      <c r="O94" s="23">
        <v>0</v>
      </c>
      <c r="P94" s="23">
        <v>0.36809999999999998</v>
      </c>
      <c r="Q94" s="23">
        <v>0.5</v>
      </c>
      <c r="R94" s="23">
        <v>0.46300000000000002</v>
      </c>
      <c r="S94" s="23">
        <v>0.5</v>
      </c>
      <c r="T94" s="32">
        <v>0.5</v>
      </c>
      <c r="U94" s="29">
        <v>53.5</v>
      </c>
      <c r="V94" s="23">
        <v>1.0999999999999999E-2</v>
      </c>
      <c r="W94" s="23">
        <v>0.42</v>
      </c>
      <c r="X94" s="23">
        <v>0.55000000000000004</v>
      </c>
      <c r="Y94" s="23">
        <v>3.91</v>
      </c>
      <c r="Z94" s="23">
        <v>31.3</v>
      </c>
      <c r="AA94" s="23">
        <v>2.75E-2</v>
      </c>
      <c r="AB94" s="23">
        <v>0.14499999999999999</v>
      </c>
      <c r="AC94" s="23">
        <v>0.19889999999999999</v>
      </c>
      <c r="AD94" s="23">
        <v>0</v>
      </c>
      <c r="AE94" s="23">
        <v>0</v>
      </c>
      <c r="AF94" s="23">
        <v>1.6088</v>
      </c>
      <c r="AG94" s="23">
        <v>0.94969999999999999</v>
      </c>
      <c r="AH94" s="23">
        <v>0</v>
      </c>
      <c r="AI94" s="23">
        <v>1.9450000000000001</v>
      </c>
      <c r="AJ94" s="23">
        <v>0</v>
      </c>
      <c r="AK94" s="23">
        <v>0</v>
      </c>
      <c r="AL94" s="23">
        <f t="shared" si="0"/>
        <v>94.565899999999999</v>
      </c>
    </row>
    <row r="95" spans="8:38" x14ac:dyDescent="0.3">
      <c r="H95" s="32">
        <v>5.5</v>
      </c>
      <c r="I95" s="29">
        <v>0</v>
      </c>
      <c r="J95" s="23">
        <v>0</v>
      </c>
      <c r="K95" s="30">
        <v>0</v>
      </c>
      <c r="L95" s="31">
        <v>0</v>
      </c>
      <c r="M95" s="23">
        <v>0</v>
      </c>
      <c r="N95" s="23">
        <v>0</v>
      </c>
      <c r="O95" s="23">
        <v>0</v>
      </c>
      <c r="P95" s="23">
        <v>0.4083</v>
      </c>
      <c r="Q95" s="23">
        <v>0.5</v>
      </c>
      <c r="R95" s="23">
        <v>0.46300000000000002</v>
      </c>
      <c r="S95" s="23">
        <v>0.5</v>
      </c>
      <c r="T95" s="32">
        <v>0.5</v>
      </c>
      <c r="U95" s="29">
        <v>53.5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0.1986</v>
      </c>
      <c r="AD95" s="23">
        <v>0</v>
      </c>
      <c r="AE95" s="23">
        <v>0</v>
      </c>
      <c r="AF95" s="23">
        <v>2.5063</v>
      </c>
      <c r="AG95" s="23">
        <v>0.56989999999999996</v>
      </c>
      <c r="AH95" s="23">
        <v>0</v>
      </c>
      <c r="AI95" s="23">
        <v>1.9450000000000001</v>
      </c>
      <c r="AJ95" s="23">
        <v>0</v>
      </c>
      <c r="AK95" s="23">
        <v>0</v>
      </c>
      <c r="AL95" s="23">
        <f t="shared" si="0"/>
        <v>58.719799999999999</v>
      </c>
    </row>
    <row r="96" spans="8:38" x14ac:dyDescent="0.3">
      <c r="H96" s="32">
        <v>6</v>
      </c>
      <c r="I96" s="29">
        <v>0</v>
      </c>
      <c r="J96" s="23">
        <v>0</v>
      </c>
      <c r="K96" s="30">
        <v>0</v>
      </c>
      <c r="L96" s="31">
        <v>0</v>
      </c>
      <c r="M96" s="23">
        <v>0</v>
      </c>
      <c r="N96" s="23">
        <v>0</v>
      </c>
      <c r="O96" s="23">
        <v>0</v>
      </c>
      <c r="P96" s="23">
        <v>0.41249999999999998</v>
      </c>
      <c r="Q96" s="23">
        <v>0.5</v>
      </c>
      <c r="R96" s="23">
        <v>0.46300000000000002</v>
      </c>
      <c r="S96" s="23">
        <v>0.5</v>
      </c>
      <c r="T96" s="32">
        <v>0.5</v>
      </c>
      <c r="U96" s="29">
        <v>53.5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0.1986</v>
      </c>
      <c r="AD96" s="23">
        <v>0</v>
      </c>
      <c r="AE96" s="23">
        <v>0</v>
      </c>
      <c r="AF96" s="23">
        <v>3.7846000000000002</v>
      </c>
      <c r="AG96" s="23">
        <v>0.53029999999999999</v>
      </c>
      <c r="AH96" s="23">
        <v>0</v>
      </c>
      <c r="AI96" s="23">
        <v>1.9450000000000001</v>
      </c>
      <c r="AJ96" s="23">
        <v>0</v>
      </c>
      <c r="AK96" s="23">
        <v>0</v>
      </c>
      <c r="AL96" s="23">
        <f t="shared" si="0"/>
        <v>59.958499999999994</v>
      </c>
    </row>
    <row r="97" spans="8:38" x14ac:dyDescent="0.3">
      <c r="H97" s="32">
        <v>6.5</v>
      </c>
      <c r="I97" s="29">
        <v>0</v>
      </c>
      <c r="J97" s="23">
        <v>0</v>
      </c>
      <c r="K97" s="30">
        <v>0</v>
      </c>
      <c r="L97" s="31">
        <v>0</v>
      </c>
      <c r="M97" s="23">
        <v>0</v>
      </c>
      <c r="N97" s="23">
        <v>9.2600000000000002E-2</v>
      </c>
      <c r="O97" s="23">
        <v>0</v>
      </c>
      <c r="P97" s="23">
        <v>0.21210000000000001</v>
      </c>
      <c r="Q97" s="23">
        <v>0.128</v>
      </c>
      <c r="R97" s="23">
        <v>0.46300000000000002</v>
      </c>
      <c r="S97" s="23">
        <v>0.5</v>
      </c>
      <c r="T97" s="32">
        <v>0.5</v>
      </c>
      <c r="U97" s="29">
        <v>53.5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0.1986</v>
      </c>
      <c r="AD97" s="23">
        <v>0</v>
      </c>
      <c r="AE97" s="23">
        <v>0</v>
      </c>
      <c r="AF97" s="23">
        <v>4.1382000000000003</v>
      </c>
      <c r="AG97" s="23">
        <v>2.8696999999999999</v>
      </c>
      <c r="AH97" s="23">
        <v>29.427800000000001</v>
      </c>
      <c r="AI97" s="23">
        <v>1.9450000000000001</v>
      </c>
      <c r="AJ97" s="23">
        <v>0</v>
      </c>
      <c r="AK97" s="23">
        <v>0</v>
      </c>
      <c r="AL97" s="23">
        <f t="shared" si="0"/>
        <v>92.079299999999989</v>
      </c>
    </row>
    <row r="98" spans="8:38" x14ac:dyDescent="0.3">
      <c r="H98" s="32">
        <v>7</v>
      </c>
      <c r="I98" s="29">
        <v>18</v>
      </c>
      <c r="J98" s="23">
        <v>0</v>
      </c>
      <c r="K98" s="30">
        <v>0</v>
      </c>
      <c r="L98" s="31">
        <v>0</v>
      </c>
      <c r="M98" s="23">
        <v>0</v>
      </c>
      <c r="N98" s="23">
        <v>0.5</v>
      </c>
      <c r="O98" s="23">
        <v>0</v>
      </c>
      <c r="P98" s="23">
        <v>0.24160000000000001</v>
      </c>
      <c r="Q98" s="23">
        <v>0</v>
      </c>
      <c r="R98" s="23">
        <v>0.41349999999999998</v>
      </c>
      <c r="S98" s="23">
        <v>0.43459999999999999</v>
      </c>
      <c r="T98" s="32">
        <v>0.375</v>
      </c>
      <c r="U98" s="29">
        <v>53.5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0.24129999999999999</v>
      </c>
      <c r="AD98" s="23">
        <v>0</v>
      </c>
      <c r="AE98" s="23">
        <v>0</v>
      </c>
      <c r="AF98" s="23">
        <v>3.2204999999999999</v>
      </c>
      <c r="AG98" s="23">
        <v>2.8498000000000001</v>
      </c>
      <c r="AH98" s="23">
        <v>39.552</v>
      </c>
      <c r="AI98" s="23">
        <v>4.5444000000000004</v>
      </c>
      <c r="AJ98" s="23">
        <v>0.12989999999999999</v>
      </c>
      <c r="AK98" s="23">
        <v>5.9512</v>
      </c>
      <c r="AL98" s="23">
        <f t="shared" si="0"/>
        <v>109.98910000000001</v>
      </c>
    </row>
    <row r="99" spans="8:38" x14ac:dyDescent="0.3">
      <c r="H99" s="32">
        <v>7.5</v>
      </c>
      <c r="I99" s="29">
        <v>20</v>
      </c>
      <c r="J99" s="23">
        <v>0</v>
      </c>
      <c r="K99" s="30">
        <v>0</v>
      </c>
      <c r="L99" s="31">
        <v>0</v>
      </c>
      <c r="M99" s="23">
        <v>0</v>
      </c>
      <c r="N99" s="23">
        <v>0.5</v>
      </c>
      <c r="O99" s="23">
        <v>0</v>
      </c>
      <c r="P99" s="23">
        <v>0.22639999999999999</v>
      </c>
      <c r="Q99" s="23">
        <v>0</v>
      </c>
      <c r="R99" s="23">
        <v>0</v>
      </c>
      <c r="S99" s="23">
        <v>0.44040000000000001</v>
      </c>
      <c r="T99" s="32">
        <v>0.48609999999999998</v>
      </c>
      <c r="U99" s="29">
        <v>53.5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0.2482</v>
      </c>
      <c r="AD99" s="23">
        <v>0</v>
      </c>
      <c r="AE99" s="23">
        <v>0</v>
      </c>
      <c r="AF99" s="23">
        <v>4.1744000000000003</v>
      </c>
      <c r="AG99" s="23">
        <v>3.0748000000000002</v>
      </c>
      <c r="AH99" s="23">
        <v>40.447400000000002</v>
      </c>
      <c r="AI99" s="23">
        <v>27.746700000000001</v>
      </c>
      <c r="AJ99" s="23">
        <v>0.1183</v>
      </c>
      <c r="AK99" s="23">
        <v>0.66120000000000001</v>
      </c>
      <c r="AL99" s="23">
        <f t="shared" si="0"/>
        <v>129.971</v>
      </c>
    </row>
    <row r="100" spans="8:38" x14ac:dyDescent="0.3">
      <c r="H100" s="32">
        <v>8</v>
      </c>
      <c r="I100" s="29">
        <v>73</v>
      </c>
      <c r="J100" s="23">
        <v>0</v>
      </c>
      <c r="K100" s="30">
        <v>0</v>
      </c>
      <c r="L100" s="31">
        <v>0</v>
      </c>
      <c r="M100" s="23">
        <v>0</v>
      </c>
      <c r="N100" s="23">
        <v>0.5</v>
      </c>
      <c r="O100" s="23">
        <v>7.4999999999999997E-2</v>
      </c>
      <c r="P100" s="23">
        <v>0.4536</v>
      </c>
      <c r="Q100" s="23">
        <v>0</v>
      </c>
      <c r="R100" s="23">
        <v>0.49080000000000001</v>
      </c>
      <c r="S100" s="23">
        <v>0.25</v>
      </c>
      <c r="T100" s="32">
        <v>0.13189999999999999</v>
      </c>
      <c r="U100" s="29">
        <v>53.5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0.21709999999999999</v>
      </c>
      <c r="AD100" s="23">
        <v>0</v>
      </c>
      <c r="AE100" s="23">
        <v>0</v>
      </c>
      <c r="AF100" s="23">
        <v>3.71</v>
      </c>
      <c r="AG100" s="23">
        <v>0.20050000000000001</v>
      </c>
      <c r="AH100" s="23">
        <v>39.991500000000002</v>
      </c>
      <c r="AI100" s="23">
        <v>0.48399999999999999</v>
      </c>
      <c r="AJ100" s="23">
        <v>0.4965</v>
      </c>
      <c r="AK100" s="23">
        <v>17.523</v>
      </c>
      <c r="AL100" s="23">
        <f t="shared" si="0"/>
        <v>116.12259999999999</v>
      </c>
    </row>
    <row r="101" spans="8:38" x14ac:dyDescent="0.3">
      <c r="H101" s="32">
        <v>8.5</v>
      </c>
      <c r="I101" s="29">
        <v>73</v>
      </c>
      <c r="J101" s="23">
        <v>0</v>
      </c>
      <c r="K101" s="30">
        <v>0</v>
      </c>
      <c r="L101" s="31">
        <v>0</v>
      </c>
      <c r="M101" s="23">
        <v>0</v>
      </c>
      <c r="N101" s="23">
        <v>0.5</v>
      </c>
      <c r="O101" s="23">
        <v>0.5</v>
      </c>
      <c r="P101" s="23">
        <v>0.46539999999999998</v>
      </c>
      <c r="Q101" s="23">
        <v>0</v>
      </c>
      <c r="R101" s="23">
        <v>0.49070000000000003</v>
      </c>
      <c r="S101" s="23">
        <v>0.5</v>
      </c>
      <c r="T101" s="32">
        <v>0.5</v>
      </c>
      <c r="U101" s="29">
        <v>53.5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0.2482</v>
      </c>
      <c r="AD101" s="23">
        <v>0</v>
      </c>
      <c r="AE101" s="23">
        <v>0</v>
      </c>
      <c r="AF101" s="23">
        <v>0</v>
      </c>
      <c r="AG101" s="23">
        <v>7.9699999999999993E-2</v>
      </c>
      <c r="AH101" s="23">
        <v>39.552</v>
      </c>
      <c r="AI101" s="23">
        <v>0.48670000000000002</v>
      </c>
      <c r="AJ101" s="23">
        <v>0</v>
      </c>
      <c r="AK101" s="23">
        <v>0</v>
      </c>
      <c r="AL101" s="23">
        <f t="shared" si="0"/>
        <v>93.866599999999991</v>
      </c>
    </row>
    <row r="102" spans="8:38" x14ac:dyDescent="0.3">
      <c r="H102" s="32">
        <v>9</v>
      </c>
      <c r="I102" s="29">
        <v>73</v>
      </c>
      <c r="J102" s="23">
        <v>0</v>
      </c>
      <c r="K102" s="30">
        <v>0</v>
      </c>
      <c r="L102" s="31">
        <v>0</v>
      </c>
      <c r="M102" s="23">
        <v>0</v>
      </c>
      <c r="N102" s="23">
        <v>0.49070000000000003</v>
      </c>
      <c r="O102" s="23">
        <v>0.5</v>
      </c>
      <c r="P102" s="23">
        <v>0.43969999999999998</v>
      </c>
      <c r="Q102" s="23">
        <v>0</v>
      </c>
      <c r="R102" s="23">
        <v>0.37930000000000003</v>
      </c>
      <c r="S102" s="23">
        <v>0.5</v>
      </c>
      <c r="T102" s="32">
        <v>0.5</v>
      </c>
      <c r="U102" s="29">
        <v>53.5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0.23300000000000001</v>
      </c>
      <c r="AD102" s="23">
        <v>0</v>
      </c>
      <c r="AE102" s="23">
        <v>0</v>
      </c>
      <c r="AF102" s="23">
        <v>0</v>
      </c>
      <c r="AG102" s="23">
        <v>0.159</v>
      </c>
      <c r="AH102" s="23">
        <v>39.552</v>
      </c>
      <c r="AI102" s="23">
        <v>6.3379000000000003</v>
      </c>
      <c r="AJ102" s="23">
        <v>0</v>
      </c>
      <c r="AK102" s="23">
        <v>0</v>
      </c>
      <c r="AL102" s="23">
        <f t="shared" si="0"/>
        <v>99.781899999999993</v>
      </c>
    </row>
    <row r="103" spans="8:38" x14ac:dyDescent="0.3">
      <c r="H103" s="32">
        <v>9.5</v>
      </c>
      <c r="I103" s="29">
        <v>73</v>
      </c>
      <c r="J103" s="23">
        <v>0</v>
      </c>
      <c r="K103" s="30">
        <v>0</v>
      </c>
      <c r="L103" s="31">
        <v>0</v>
      </c>
      <c r="M103" s="23">
        <v>0</v>
      </c>
      <c r="N103" s="23">
        <v>0.5</v>
      </c>
      <c r="O103" s="23">
        <v>0.5</v>
      </c>
      <c r="P103" s="23">
        <v>0.45469999999999999</v>
      </c>
      <c r="Q103" s="23">
        <v>0.25559999999999999</v>
      </c>
      <c r="R103" s="23">
        <v>0.16300000000000001</v>
      </c>
      <c r="S103" s="23">
        <v>0.5</v>
      </c>
      <c r="T103" s="32">
        <v>0.5</v>
      </c>
      <c r="U103" s="29">
        <v>53.5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0.2482</v>
      </c>
      <c r="AD103" s="23">
        <v>0</v>
      </c>
      <c r="AE103" s="23">
        <v>0</v>
      </c>
      <c r="AF103" s="23">
        <v>0</v>
      </c>
      <c r="AG103" s="23">
        <v>8.9200000000000002E-2</v>
      </c>
      <c r="AH103" s="23">
        <v>19.336500000000001</v>
      </c>
      <c r="AI103" s="23">
        <v>17.6951</v>
      </c>
      <c r="AJ103" s="23">
        <v>0</v>
      </c>
      <c r="AK103" s="23">
        <v>0</v>
      </c>
      <c r="AL103" s="23">
        <f t="shared" si="0"/>
        <v>90.869</v>
      </c>
    </row>
    <row r="104" spans="8:38" x14ac:dyDescent="0.3">
      <c r="H104" s="32">
        <v>10</v>
      </c>
      <c r="I104" s="29">
        <v>73</v>
      </c>
      <c r="J104" s="23">
        <v>0</v>
      </c>
      <c r="K104" s="30">
        <v>0</v>
      </c>
      <c r="L104" s="31">
        <v>0</v>
      </c>
      <c r="M104" s="23">
        <v>0</v>
      </c>
      <c r="N104" s="23">
        <v>0.5</v>
      </c>
      <c r="O104" s="23">
        <v>0.5</v>
      </c>
      <c r="P104" s="23">
        <v>0.35239999999999999</v>
      </c>
      <c r="Q104" s="23">
        <v>0.4854</v>
      </c>
      <c r="R104" s="23">
        <v>0.12959999999999999</v>
      </c>
      <c r="S104" s="23">
        <v>0.5</v>
      </c>
      <c r="T104" s="32">
        <v>0.5</v>
      </c>
      <c r="U104" s="29">
        <v>53.5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0.21659999999999999</v>
      </c>
      <c r="AD104" s="23">
        <v>0</v>
      </c>
      <c r="AE104" s="23">
        <v>0</v>
      </c>
      <c r="AF104" s="23">
        <v>0</v>
      </c>
      <c r="AG104" s="23">
        <v>1.2793000000000001</v>
      </c>
      <c r="AH104" s="23">
        <v>1.3773</v>
      </c>
      <c r="AI104" s="23">
        <v>19.450500000000002</v>
      </c>
      <c r="AJ104" s="23">
        <v>0</v>
      </c>
      <c r="AK104" s="23">
        <v>0</v>
      </c>
      <c r="AL104" s="23">
        <f t="shared" si="0"/>
        <v>75.823700000000002</v>
      </c>
    </row>
    <row r="105" spans="8:38" x14ac:dyDescent="0.3">
      <c r="H105" s="32">
        <v>10.5</v>
      </c>
      <c r="I105" s="29">
        <v>73</v>
      </c>
      <c r="J105" s="23">
        <v>0</v>
      </c>
      <c r="K105" s="30">
        <v>0</v>
      </c>
      <c r="L105" s="31">
        <v>0</v>
      </c>
      <c r="M105" s="23">
        <v>0</v>
      </c>
      <c r="N105" s="23">
        <v>0.5</v>
      </c>
      <c r="O105" s="23">
        <v>0.5</v>
      </c>
      <c r="P105" s="23">
        <v>0.27079999999999999</v>
      </c>
      <c r="Q105" s="23">
        <v>0.49790000000000001</v>
      </c>
      <c r="R105" s="23">
        <v>0.12709999999999999</v>
      </c>
      <c r="S105" s="23">
        <v>0.5</v>
      </c>
      <c r="T105" s="32">
        <v>0.5</v>
      </c>
      <c r="U105" s="29">
        <v>53.5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0.19889999999999999</v>
      </c>
      <c r="AD105" s="23">
        <v>0</v>
      </c>
      <c r="AE105" s="23">
        <v>0</v>
      </c>
      <c r="AF105" s="23">
        <v>0</v>
      </c>
      <c r="AG105" s="23">
        <v>2.1825000000000001</v>
      </c>
      <c r="AH105" s="23">
        <v>0.1968</v>
      </c>
      <c r="AI105" s="23">
        <v>19.585000000000001</v>
      </c>
      <c r="AJ105" s="23">
        <v>0</v>
      </c>
      <c r="AK105" s="23">
        <v>0</v>
      </c>
      <c r="AL105" s="23">
        <f t="shared" si="0"/>
        <v>75.663200000000003</v>
      </c>
    </row>
    <row r="106" spans="8:38" x14ac:dyDescent="0.3">
      <c r="H106" s="32">
        <v>11</v>
      </c>
      <c r="I106" s="29">
        <v>137</v>
      </c>
      <c r="J106" s="23">
        <v>0</v>
      </c>
      <c r="K106" s="30">
        <v>0</v>
      </c>
      <c r="L106" s="31">
        <v>0</v>
      </c>
      <c r="M106" s="23">
        <v>3.3E-3</v>
      </c>
      <c r="N106" s="23">
        <v>0.49070000000000003</v>
      </c>
      <c r="O106" s="23">
        <v>0.5</v>
      </c>
      <c r="P106" s="23">
        <v>0.40160000000000001</v>
      </c>
      <c r="Q106" s="23">
        <v>0.43330000000000002</v>
      </c>
      <c r="R106" s="23">
        <v>0.24279999999999999</v>
      </c>
      <c r="S106" s="23">
        <v>0.27989999999999998</v>
      </c>
      <c r="T106" s="32">
        <v>7.6E-3</v>
      </c>
      <c r="U106" s="29">
        <v>53.5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0.24629999999999999</v>
      </c>
      <c r="AD106" s="23">
        <v>0</v>
      </c>
      <c r="AE106" s="23">
        <v>0</v>
      </c>
      <c r="AF106" s="23">
        <v>0</v>
      </c>
      <c r="AG106" s="23">
        <v>0.73540000000000005</v>
      </c>
      <c r="AH106" s="23">
        <v>6.0406000000000004</v>
      </c>
      <c r="AI106" s="23">
        <v>13.5083</v>
      </c>
      <c r="AJ106" s="23">
        <v>0.43719999999999998</v>
      </c>
      <c r="AK106" s="23">
        <v>23.466899999999999</v>
      </c>
      <c r="AL106" s="23">
        <f t="shared" si="0"/>
        <v>97.934699999999992</v>
      </c>
    </row>
    <row r="107" spans="8:38" x14ac:dyDescent="0.3">
      <c r="H107" s="32">
        <v>11.5</v>
      </c>
      <c r="I107" s="29">
        <v>208</v>
      </c>
      <c r="J107" s="23">
        <v>0</v>
      </c>
      <c r="K107" s="30">
        <v>0</v>
      </c>
      <c r="L107" s="31">
        <v>0</v>
      </c>
      <c r="M107" s="23">
        <v>0.49170000000000003</v>
      </c>
      <c r="N107" s="23">
        <v>0.49070000000000003</v>
      </c>
      <c r="O107" s="23">
        <v>0.5</v>
      </c>
      <c r="P107" s="23">
        <v>8.4500000000000006E-2</v>
      </c>
      <c r="Q107" s="23">
        <v>0.37530000000000002</v>
      </c>
      <c r="R107" s="23">
        <v>0.45129999999999998</v>
      </c>
      <c r="S107" s="23">
        <v>0.30349999999999999</v>
      </c>
      <c r="T107" s="32">
        <v>5.4899999999999997E-2</v>
      </c>
      <c r="U107" s="29">
        <v>53.5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0.2422</v>
      </c>
      <c r="AD107" s="23">
        <v>0</v>
      </c>
      <c r="AE107" s="23">
        <v>0</v>
      </c>
      <c r="AF107" s="23">
        <v>0</v>
      </c>
      <c r="AG107" s="23">
        <v>1.6248</v>
      </c>
      <c r="AH107" s="23">
        <v>5.0820999999999996</v>
      </c>
      <c r="AI107" s="23">
        <v>2.5573000000000001</v>
      </c>
      <c r="AJ107" s="23">
        <v>0.39029999999999998</v>
      </c>
      <c r="AK107" s="23">
        <v>21.167000000000002</v>
      </c>
      <c r="AL107" s="23">
        <f t="shared" si="0"/>
        <v>84.563699999999997</v>
      </c>
    </row>
    <row r="108" spans="8:38" x14ac:dyDescent="0.3">
      <c r="H108" s="32">
        <v>12</v>
      </c>
      <c r="I108" s="29">
        <v>208</v>
      </c>
      <c r="J108" s="23">
        <v>0</v>
      </c>
      <c r="K108" s="30">
        <v>0</v>
      </c>
      <c r="L108" s="31">
        <v>0</v>
      </c>
      <c r="M108" s="23">
        <v>0.3417</v>
      </c>
      <c r="N108" s="23">
        <v>0.5</v>
      </c>
      <c r="O108" s="23">
        <v>0.5</v>
      </c>
      <c r="P108" s="23">
        <v>8.5400000000000004E-2</v>
      </c>
      <c r="Q108" s="23">
        <v>7.5700000000000003E-2</v>
      </c>
      <c r="R108" s="23">
        <v>0.46600000000000003</v>
      </c>
      <c r="S108" s="23">
        <v>0.5</v>
      </c>
      <c r="T108" s="32">
        <v>0.5</v>
      </c>
      <c r="U108" s="29">
        <v>53.5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0.2344</v>
      </c>
      <c r="AD108" s="23">
        <v>0</v>
      </c>
      <c r="AE108" s="23">
        <v>0</v>
      </c>
      <c r="AF108" s="23">
        <v>0</v>
      </c>
      <c r="AG108" s="23">
        <v>2.1947000000000001</v>
      </c>
      <c r="AH108" s="23">
        <v>17.218299999999999</v>
      </c>
      <c r="AI108" s="23">
        <v>1.7851999999999999</v>
      </c>
      <c r="AJ108" s="23">
        <v>0</v>
      </c>
      <c r="AK108" s="23">
        <v>0</v>
      </c>
      <c r="AL108" s="23">
        <f t="shared" si="0"/>
        <v>74.932600000000008</v>
      </c>
    </row>
    <row r="109" spans="8:38" x14ac:dyDescent="0.3">
      <c r="H109" s="32">
        <v>12.5</v>
      </c>
      <c r="I109" s="29">
        <v>208</v>
      </c>
      <c r="J109" s="23">
        <v>0</v>
      </c>
      <c r="K109" s="30">
        <v>1</v>
      </c>
      <c r="L109" s="31">
        <v>0</v>
      </c>
      <c r="M109" s="23">
        <v>0.44440000000000002</v>
      </c>
      <c r="N109" s="23">
        <v>0.48149999999999998</v>
      </c>
      <c r="O109" s="23">
        <v>0.5</v>
      </c>
      <c r="P109" s="23">
        <v>0.27860000000000001</v>
      </c>
      <c r="Q109" s="23">
        <v>0</v>
      </c>
      <c r="R109" s="23">
        <v>0.42299999999999999</v>
      </c>
      <c r="S109" s="23">
        <v>0.5</v>
      </c>
      <c r="T109" s="32">
        <v>0.49309999999999998</v>
      </c>
      <c r="U109" s="29">
        <v>53.5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0.2341</v>
      </c>
      <c r="AD109" s="23">
        <v>0</v>
      </c>
      <c r="AE109" s="23">
        <v>0</v>
      </c>
      <c r="AF109" s="23">
        <v>0</v>
      </c>
      <c r="AG109" s="23">
        <v>1.2645</v>
      </c>
      <c r="AH109" s="23">
        <v>30.960100000000001</v>
      </c>
      <c r="AI109" s="23">
        <v>4.0419999999999998</v>
      </c>
      <c r="AJ109" s="23">
        <v>0</v>
      </c>
      <c r="AK109" s="23">
        <v>0.3306</v>
      </c>
      <c r="AL109" s="23">
        <f t="shared" si="0"/>
        <v>90.331299999999999</v>
      </c>
    </row>
    <row r="110" spans="8:38" x14ac:dyDescent="0.3">
      <c r="H110" s="32">
        <v>13</v>
      </c>
      <c r="I110" s="29">
        <v>208</v>
      </c>
      <c r="J110" s="23">
        <v>0</v>
      </c>
      <c r="K110" s="30">
        <v>1</v>
      </c>
      <c r="L110" s="31">
        <v>0</v>
      </c>
      <c r="M110" s="23">
        <v>0.47220000000000001</v>
      </c>
      <c r="N110" s="23">
        <v>0.34260000000000002</v>
      </c>
      <c r="O110" s="23">
        <v>0.5</v>
      </c>
      <c r="P110" s="23">
        <v>4.4200000000000003E-2</v>
      </c>
      <c r="Q110" s="23">
        <v>0</v>
      </c>
      <c r="R110" s="23">
        <v>0.30649999999999999</v>
      </c>
      <c r="S110" s="23">
        <v>0.5</v>
      </c>
      <c r="T110" s="32">
        <v>0.5</v>
      </c>
      <c r="U110" s="29">
        <v>53.5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0.224</v>
      </c>
      <c r="AD110" s="23">
        <v>0</v>
      </c>
      <c r="AE110" s="23">
        <v>0</v>
      </c>
      <c r="AF110" s="23">
        <v>0</v>
      </c>
      <c r="AG110" s="23">
        <v>3.3574000000000002</v>
      </c>
      <c r="AH110" s="23">
        <v>20.395700000000001</v>
      </c>
      <c r="AI110" s="23">
        <v>10.1601</v>
      </c>
      <c r="AJ110" s="23">
        <v>0</v>
      </c>
      <c r="AK110" s="23">
        <v>0</v>
      </c>
      <c r="AL110" s="23">
        <f t="shared" si="0"/>
        <v>87.637199999999993</v>
      </c>
    </row>
    <row r="111" spans="8:38" x14ac:dyDescent="0.3">
      <c r="H111" s="32">
        <v>13.5</v>
      </c>
      <c r="I111" s="29">
        <v>208</v>
      </c>
      <c r="J111" s="23">
        <v>0</v>
      </c>
      <c r="K111" s="30">
        <v>1</v>
      </c>
      <c r="L111" s="31">
        <v>0</v>
      </c>
      <c r="M111" s="23">
        <v>0.5</v>
      </c>
      <c r="N111" s="23">
        <v>0.5</v>
      </c>
      <c r="O111" s="23">
        <v>0.5</v>
      </c>
      <c r="P111" s="23">
        <v>0.34939999999999999</v>
      </c>
      <c r="Q111" s="23">
        <v>0</v>
      </c>
      <c r="R111" s="23">
        <v>0.1648</v>
      </c>
      <c r="S111" s="23">
        <v>0.5</v>
      </c>
      <c r="T111" s="32">
        <v>0.5</v>
      </c>
      <c r="U111" s="29">
        <v>53.5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0.22670000000000001</v>
      </c>
      <c r="AD111" s="23">
        <v>0</v>
      </c>
      <c r="AE111" s="23">
        <v>0</v>
      </c>
      <c r="AF111" s="23">
        <v>0</v>
      </c>
      <c r="AG111" s="23">
        <v>1.3026</v>
      </c>
      <c r="AH111" s="23">
        <v>36.373399999999997</v>
      </c>
      <c r="AI111" s="23">
        <v>17.604500000000002</v>
      </c>
      <c r="AJ111" s="23">
        <v>0</v>
      </c>
      <c r="AK111" s="23">
        <v>0</v>
      </c>
      <c r="AL111" s="23">
        <f t="shared" si="0"/>
        <v>109.0072</v>
      </c>
    </row>
    <row r="112" spans="8:38" x14ac:dyDescent="0.3">
      <c r="H112" s="32">
        <v>14</v>
      </c>
      <c r="I112" s="29">
        <v>209</v>
      </c>
      <c r="J112" s="23">
        <v>0</v>
      </c>
      <c r="K112" s="30">
        <v>4</v>
      </c>
      <c r="L112" s="31">
        <v>0</v>
      </c>
      <c r="M112" s="23">
        <v>0.5</v>
      </c>
      <c r="N112" s="23">
        <v>0.5</v>
      </c>
      <c r="O112" s="23">
        <v>0.5</v>
      </c>
      <c r="P112" s="23">
        <v>0.39079999999999998</v>
      </c>
      <c r="Q112" s="23">
        <v>0.25319999999999998</v>
      </c>
      <c r="R112" s="23">
        <v>0</v>
      </c>
      <c r="S112" s="23">
        <v>0.5</v>
      </c>
      <c r="T112" s="32">
        <v>0.47220000000000001</v>
      </c>
      <c r="U112" s="29">
        <v>53.5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0.2482</v>
      </c>
      <c r="AD112" s="23">
        <v>0</v>
      </c>
      <c r="AE112" s="23">
        <v>0</v>
      </c>
      <c r="AF112" s="23">
        <v>0</v>
      </c>
      <c r="AG112" s="23">
        <v>1.1072</v>
      </c>
      <c r="AH112" s="23">
        <v>20.3368</v>
      </c>
      <c r="AI112" s="23">
        <v>30.7897</v>
      </c>
      <c r="AJ112" s="23">
        <v>0</v>
      </c>
      <c r="AK112" s="23">
        <v>1.3225</v>
      </c>
      <c r="AL112" s="23">
        <f t="shared" si="0"/>
        <v>107.3044</v>
      </c>
    </row>
    <row r="113" spans="8:38" x14ac:dyDescent="0.3">
      <c r="H113" s="32">
        <v>14.5</v>
      </c>
      <c r="I113" s="29">
        <v>209</v>
      </c>
      <c r="J113" s="23">
        <v>7</v>
      </c>
      <c r="K113" s="30">
        <v>4</v>
      </c>
      <c r="L113" s="31">
        <v>0</v>
      </c>
      <c r="M113" s="23">
        <v>0.5</v>
      </c>
      <c r="N113" s="23">
        <v>0.5</v>
      </c>
      <c r="O113" s="23">
        <v>0.5</v>
      </c>
      <c r="P113" s="23">
        <v>0.5</v>
      </c>
      <c r="Q113" s="23">
        <v>0.5</v>
      </c>
      <c r="R113" s="23">
        <v>0</v>
      </c>
      <c r="S113" s="23">
        <v>0.5</v>
      </c>
      <c r="T113" s="32">
        <v>0.44169999999999998</v>
      </c>
      <c r="U113" s="29">
        <v>53.5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0.2482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3">
        <v>32.841099999999997</v>
      </c>
      <c r="AJ113" s="23">
        <v>0</v>
      </c>
      <c r="AK113" s="23">
        <v>2.3428</v>
      </c>
      <c r="AL113" s="23">
        <f t="shared" si="0"/>
        <v>88.932099999999991</v>
      </c>
    </row>
    <row r="114" spans="8:38" x14ac:dyDescent="0.3">
      <c r="H114" s="32">
        <v>15</v>
      </c>
      <c r="I114" s="29">
        <v>209</v>
      </c>
      <c r="J114" s="23">
        <v>20</v>
      </c>
      <c r="K114" s="30">
        <v>4</v>
      </c>
      <c r="L114" s="31">
        <v>0</v>
      </c>
      <c r="M114" s="23">
        <v>0.5</v>
      </c>
      <c r="N114" s="23">
        <v>0.4889</v>
      </c>
      <c r="O114" s="23">
        <v>0.5</v>
      </c>
      <c r="P114" s="23">
        <v>0.5</v>
      </c>
      <c r="Q114" s="23">
        <v>0.5</v>
      </c>
      <c r="R114" s="23">
        <v>0</v>
      </c>
      <c r="S114" s="23">
        <v>0.48080000000000001</v>
      </c>
      <c r="T114" s="32">
        <v>0.34570000000000001</v>
      </c>
      <c r="U114" s="29">
        <v>53.5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0.2482</v>
      </c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23">
        <v>31.857800000000001</v>
      </c>
      <c r="AJ114" s="23">
        <v>3.8100000000000002E-2</v>
      </c>
      <c r="AK114" s="23">
        <v>6.0503</v>
      </c>
      <c r="AL114" s="23">
        <f t="shared" si="0"/>
        <v>91.694400000000002</v>
      </c>
    </row>
    <row r="115" spans="8:38" x14ac:dyDescent="0.3">
      <c r="H115" s="32">
        <v>15.5</v>
      </c>
      <c r="I115" s="29">
        <v>212</v>
      </c>
      <c r="J115" s="23">
        <v>28</v>
      </c>
      <c r="K115" s="30">
        <v>20</v>
      </c>
      <c r="L115" s="31">
        <v>0</v>
      </c>
      <c r="M115" s="23">
        <v>0.5</v>
      </c>
      <c r="N115" s="23">
        <v>0</v>
      </c>
      <c r="O115" s="23">
        <v>0.5</v>
      </c>
      <c r="P115" s="23">
        <v>0.18</v>
      </c>
      <c r="Q115" s="23">
        <v>8.3299999999999999E-2</v>
      </c>
      <c r="R115" s="23">
        <v>0</v>
      </c>
      <c r="S115" s="23">
        <v>0.43580000000000002</v>
      </c>
      <c r="T115" s="32">
        <v>0.3473</v>
      </c>
      <c r="U115" s="29">
        <v>53.5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0.2485</v>
      </c>
      <c r="AD115" s="23">
        <v>0</v>
      </c>
      <c r="AE115" s="23">
        <v>0</v>
      </c>
      <c r="AF115" s="23">
        <v>0</v>
      </c>
      <c r="AG115" s="23">
        <v>3.1456</v>
      </c>
      <c r="AH115" s="23">
        <v>32.96</v>
      </c>
      <c r="AI115" s="23">
        <v>30.05</v>
      </c>
      <c r="AJ115" s="23">
        <v>0.12740000000000001</v>
      </c>
      <c r="AK115" s="23">
        <v>7.2596999999999996</v>
      </c>
      <c r="AL115" s="23">
        <f t="shared" si="0"/>
        <v>127.29119999999999</v>
      </c>
    </row>
    <row r="116" spans="8:38" x14ac:dyDescent="0.3">
      <c r="H116" s="32">
        <v>16</v>
      </c>
      <c r="I116" s="29">
        <v>212</v>
      </c>
      <c r="J116" s="23">
        <v>28</v>
      </c>
      <c r="K116" s="30">
        <v>20</v>
      </c>
      <c r="L116" s="31">
        <v>0</v>
      </c>
      <c r="M116" s="23">
        <v>0.5</v>
      </c>
      <c r="N116" s="23">
        <v>0</v>
      </c>
      <c r="O116" s="23">
        <v>0.5</v>
      </c>
      <c r="P116" s="23">
        <v>0.1552</v>
      </c>
      <c r="Q116" s="23">
        <v>0</v>
      </c>
      <c r="R116" s="23">
        <v>0.5</v>
      </c>
      <c r="S116" s="23">
        <v>4.1700000000000001E-2</v>
      </c>
      <c r="T116" s="32">
        <v>0</v>
      </c>
      <c r="U116" s="29">
        <v>53.5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0</v>
      </c>
      <c r="AC116" s="23">
        <v>0.20030000000000001</v>
      </c>
      <c r="AD116" s="23">
        <v>0</v>
      </c>
      <c r="AE116" s="23">
        <v>0</v>
      </c>
      <c r="AF116" s="23">
        <v>0</v>
      </c>
      <c r="AG116" s="23">
        <v>3.4043999999999999</v>
      </c>
      <c r="AH116" s="23">
        <v>39.991500000000002</v>
      </c>
      <c r="AI116" s="23">
        <v>0</v>
      </c>
      <c r="AJ116" s="23">
        <v>0.91020000000000001</v>
      </c>
      <c r="AK116" s="23">
        <v>12.6571</v>
      </c>
      <c r="AL116" s="23">
        <f t="shared" si="0"/>
        <v>110.66350000000001</v>
      </c>
    </row>
    <row r="117" spans="8:38" x14ac:dyDescent="0.3">
      <c r="H117" s="32">
        <v>16.5</v>
      </c>
      <c r="I117" s="29">
        <v>212</v>
      </c>
      <c r="J117" s="23">
        <v>79</v>
      </c>
      <c r="K117" s="30">
        <v>20</v>
      </c>
      <c r="L117" s="31">
        <v>0</v>
      </c>
      <c r="M117" s="23">
        <v>0.5</v>
      </c>
      <c r="N117" s="23">
        <v>0.1389</v>
      </c>
      <c r="O117" s="23">
        <v>0.5</v>
      </c>
      <c r="P117" s="23">
        <v>0.2208</v>
      </c>
      <c r="Q117" s="23">
        <v>0</v>
      </c>
      <c r="R117" s="23">
        <v>0.5</v>
      </c>
      <c r="S117" s="23">
        <v>0.5</v>
      </c>
      <c r="T117" s="32">
        <v>0</v>
      </c>
      <c r="U117" s="29">
        <v>53.5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  <c r="AC117" s="23">
        <v>0.1986</v>
      </c>
      <c r="AD117" s="23">
        <v>0</v>
      </c>
      <c r="AE117" s="23">
        <v>0</v>
      </c>
      <c r="AF117" s="23">
        <v>0</v>
      </c>
      <c r="AG117" s="23">
        <v>2.8041</v>
      </c>
      <c r="AH117" s="23">
        <v>39.552</v>
      </c>
      <c r="AI117" s="23">
        <v>0</v>
      </c>
      <c r="AJ117" s="23">
        <v>0</v>
      </c>
      <c r="AK117" s="23">
        <v>23.883099999999999</v>
      </c>
      <c r="AL117" s="23">
        <f t="shared" si="0"/>
        <v>119.9378</v>
      </c>
    </row>
    <row r="118" spans="8:38" x14ac:dyDescent="0.3">
      <c r="H118" s="32">
        <v>17</v>
      </c>
      <c r="I118" s="29">
        <v>212</v>
      </c>
      <c r="J118" s="23">
        <v>177</v>
      </c>
      <c r="K118" s="30">
        <v>20</v>
      </c>
      <c r="L118" s="31">
        <v>0</v>
      </c>
      <c r="M118" s="23">
        <v>0.5</v>
      </c>
      <c r="N118" s="23">
        <v>0.5</v>
      </c>
      <c r="O118" s="23">
        <v>0.5</v>
      </c>
      <c r="P118" s="23">
        <v>0.49049999999999999</v>
      </c>
      <c r="Q118" s="23">
        <v>0</v>
      </c>
      <c r="R118" s="23">
        <v>0.47460000000000002</v>
      </c>
      <c r="S118" s="23">
        <v>0.5</v>
      </c>
      <c r="T118" s="32">
        <v>0</v>
      </c>
      <c r="U118" s="29">
        <v>53.5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0.1986</v>
      </c>
      <c r="AD118" s="23">
        <v>0</v>
      </c>
      <c r="AE118" s="23">
        <v>0</v>
      </c>
      <c r="AF118" s="23">
        <v>0</v>
      </c>
      <c r="AG118" s="23">
        <v>8.3999999999999995E-3</v>
      </c>
      <c r="AH118" s="23">
        <v>39.552</v>
      </c>
      <c r="AI118" s="23">
        <v>1.3314999999999999</v>
      </c>
      <c r="AJ118" s="23">
        <v>0</v>
      </c>
      <c r="AK118" s="23">
        <v>23.700700000000001</v>
      </c>
      <c r="AL118" s="23">
        <f t="shared" si="0"/>
        <v>118.2912</v>
      </c>
    </row>
    <row r="119" spans="8:38" x14ac:dyDescent="0.3">
      <c r="H119" s="32">
        <v>17.5</v>
      </c>
      <c r="I119" s="29">
        <v>230</v>
      </c>
      <c r="J119" s="23">
        <v>210</v>
      </c>
      <c r="K119" s="30">
        <v>43</v>
      </c>
      <c r="L119" s="31">
        <v>0</v>
      </c>
      <c r="M119" s="23">
        <v>0.5</v>
      </c>
      <c r="N119" s="23">
        <v>0.5</v>
      </c>
      <c r="O119" s="23">
        <v>0.5</v>
      </c>
      <c r="P119" s="23">
        <v>0.125</v>
      </c>
      <c r="Q119" s="23">
        <v>0</v>
      </c>
      <c r="R119" s="23">
        <v>0.30719999999999997</v>
      </c>
      <c r="S119" s="23">
        <v>0.5</v>
      </c>
      <c r="T119" s="32">
        <v>0.1986</v>
      </c>
      <c r="U119" s="29">
        <v>53.5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0.23719999999999999</v>
      </c>
      <c r="AD119" s="23">
        <v>0</v>
      </c>
      <c r="AE119" s="23">
        <v>0</v>
      </c>
      <c r="AF119" s="23">
        <v>0</v>
      </c>
      <c r="AG119" s="23">
        <v>1.4863</v>
      </c>
      <c r="AH119" s="23">
        <v>44.324300000000001</v>
      </c>
      <c r="AI119" s="23">
        <v>10.1241</v>
      </c>
      <c r="AJ119" s="23">
        <v>0</v>
      </c>
      <c r="AK119" s="23">
        <v>14.2263</v>
      </c>
      <c r="AL119" s="23">
        <f t="shared" si="0"/>
        <v>123.89819999999999</v>
      </c>
    </row>
    <row r="120" spans="8:38" x14ac:dyDescent="0.3">
      <c r="H120" s="32">
        <v>18</v>
      </c>
      <c r="I120" s="29">
        <v>230</v>
      </c>
      <c r="J120" s="23">
        <v>210</v>
      </c>
      <c r="K120" s="30">
        <v>43</v>
      </c>
      <c r="L120" s="31">
        <v>0</v>
      </c>
      <c r="M120" s="23">
        <v>0.5</v>
      </c>
      <c r="N120" s="23">
        <v>0.5</v>
      </c>
      <c r="O120" s="23">
        <v>0.5</v>
      </c>
      <c r="P120" s="23">
        <v>0</v>
      </c>
      <c r="Q120" s="23">
        <v>0</v>
      </c>
      <c r="R120" s="23">
        <v>0.28610000000000002</v>
      </c>
      <c r="S120" s="23">
        <v>0.5</v>
      </c>
      <c r="T120" s="32">
        <v>0.5</v>
      </c>
      <c r="U120" s="29">
        <v>53.5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0.2482</v>
      </c>
      <c r="AD120" s="23">
        <v>0</v>
      </c>
      <c r="AE120" s="23">
        <v>0</v>
      </c>
      <c r="AF120" s="23">
        <v>0</v>
      </c>
      <c r="AG120" s="23">
        <v>2.0754999999999999</v>
      </c>
      <c r="AH120" s="23">
        <v>47.221800000000002</v>
      </c>
      <c r="AI120" s="23">
        <v>11.2324</v>
      </c>
      <c r="AJ120" s="23">
        <v>0</v>
      </c>
      <c r="AK120" s="23">
        <v>0</v>
      </c>
      <c r="AL120" s="23">
        <f t="shared" si="0"/>
        <v>114.2779</v>
      </c>
    </row>
    <row r="121" spans="8:38" x14ac:dyDescent="0.3">
      <c r="H121" s="32">
        <v>18.5</v>
      </c>
      <c r="I121" s="29">
        <v>230</v>
      </c>
      <c r="J121" s="23">
        <v>210</v>
      </c>
      <c r="K121" s="30">
        <v>43</v>
      </c>
      <c r="L121" s="31">
        <v>0</v>
      </c>
      <c r="M121" s="23">
        <v>0.5</v>
      </c>
      <c r="N121" s="23">
        <v>0.5</v>
      </c>
      <c r="O121" s="23">
        <v>0.5</v>
      </c>
      <c r="P121" s="23">
        <v>0</v>
      </c>
      <c r="Q121" s="23">
        <v>0</v>
      </c>
      <c r="R121" s="23">
        <v>0.28610000000000002</v>
      </c>
      <c r="S121" s="23">
        <v>0.5</v>
      </c>
      <c r="T121" s="32">
        <v>0.5</v>
      </c>
      <c r="U121" s="29">
        <v>53.5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0.2482</v>
      </c>
      <c r="AD121" s="23">
        <v>0</v>
      </c>
      <c r="AE121" s="23">
        <v>0</v>
      </c>
      <c r="AF121" s="23">
        <v>0</v>
      </c>
      <c r="AG121" s="23">
        <v>2.1701000000000001</v>
      </c>
      <c r="AH121" s="23">
        <v>47.221800000000002</v>
      </c>
      <c r="AI121" s="23">
        <v>11.2324</v>
      </c>
      <c r="AJ121" s="23">
        <v>0</v>
      </c>
      <c r="AK121" s="23">
        <v>0</v>
      </c>
      <c r="AL121" s="23">
        <f t="shared" si="0"/>
        <v>114.37249999999999</v>
      </c>
    </row>
    <row r="122" spans="8:38" x14ac:dyDescent="0.3">
      <c r="H122" s="32">
        <v>19</v>
      </c>
      <c r="I122" s="29">
        <v>254</v>
      </c>
      <c r="J122" s="23">
        <v>210</v>
      </c>
      <c r="K122" s="30">
        <v>43</v>
      </c>
      <c r="L122" s="31">
        <v>0</v>
      </c>
      <c r="M122" s="23">
        <v>0.5</v>
      </c>
      <c r="N122" s="23">
        <v>0.5</v>
      </c>
      <c r="O122" s="23">
        <v>0.5</v>
      </c>
      <c r="P122" s="23">
        <v>0</v>
      </c>
      <c r="Q122" s="23">
        <v>0</v>
      </c>
      <c r="R122" s="23">
        <v>0.3115</v>
      </c>
      <c r="S122" s="23">
        <v>0.45689999999999997</v>
      </c>
      <c r="T122" s="32">
        <v>0.2928</v>
      </c>
      <c r="U122" s="29">
        <v>53.5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0.24959999999999999</v>
      </c>
      <c r="AD122" s="23">
        <v>0</v>
      </c>
      <c r="AE122" s="23">
        <v>0</v>
      </c>
      <c r="AF122" s="23">
        <v>0</v>
      </c>
      <c r="AG122" s="23">
        <v>2.153</v>
      </c>
      <c r="AH122" s="23">
        <v>47.746499999999997</v>
      </c>
      <c r="AI122" s="23">
        <v>9.9009</v>
      </c>
      <c r="AJ122" s="23">
        <v>8.5500000000000007E-2</v>
      </c>
      <c r="AK122" s="23">
        <v>9.8818000000000001</v>
      </c>
      <c r="AL122" s="23">
        <f t="shared" si="0"/>
        <v>123.51730000000001</v>
      </c>
    </row>
    <row r="123" spans="8:38" x14ac:dyDescent="0.3">
      <c r="H123" s="32">
        <v>19.5</v>
      </c>
      <c r="I123" s="29">
        <v>307</v>
      </c>
      <c r="J123" s="23">
        <v>210</v>
      </c>
      <c r="K123" s="30">
        <v>43</v>
      </c>
      <c r="L123" s="31">
        <v>0</v>
      </c>
      <c r="M123" s="23">
        <v>0.5</v>
      </c>
      <c r="N123" s="23">
        <v>0.5</v>
      </c>
      <c r="O123" s="23">
        <v>0.5</v>
      </c>
      <c r="P123" s="23">
        <v>0.2097</v>
      </c>
      <c r="Q123" s="23">
        <v>0</v>
      </c>
      <c r="R123" s="23">
        <v>0.47889999999999999</v>
      </c>
      <c r="S123" s="23">
        <v>0.41810000000000003</v>
      </c>
      <c r="T123" s="32">
        <v>0.17249999999999999</v>
      </c>
      <c r="U123" s="29">
        <v>53.5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23">
        <v>0.21729999999999999</v>
      </c>
      <c r="AD123" s="23">
        <v>0</v>
      </c>
      <c r="AE123" s="23">
        <v>0</v>
      </c>
      <c r="AF123" s="23">
        <v>0</v>
      </c>
      <c r="AG123" s="23">
        <v>1.2549999999999999</v>
      </c>
      <c r="AH123" s="23">
        <v>47.221800000000002</v>
      </c>
      <c r="AI123" s="23">
        <v>1.1082000000000001</v>
      </c>
      <c r="AJ123" s="23">
        <v>0.16270000000000001</v>
      </c>
      <c r="AK123" s="23">
        <v>15.5761</v>
      </c>
      <c r="AL123" s="23">
        <f t="shared" si="0"/>
        <v>119.0411</v>
      </c>
    </row>
    <row r="124" spans="8:38" x14ac:dyDescent="0.3">
      <c r="H124" s="32">
        <v>20</v>
      </c>
      <c r="I124" s="29">
        <v>307</v>
      </c>
      <c r="J124" s="23">
        <v>210</v>
      </c>
      <c r="K124" s="30">
        <v>43</v>
      </c>
      <c r="L124" s="31">
        <v>0</v>
      </c>
      <c r="M124" s="23">
        <v>0.49309999999999998</v>
      </c>
      <c r="N124" s="23">
        <v>0.5</v>
      </c>
      <c r="O124" s="23">
        <v>0.5</v>
      </c>
      <c r="P124" s="23">
        <v>0.44309999999999999</v>
      </c>
      <c r="Q124" s="23">
        <v>0</v>
      </c>
      <c r="R124" s="23">
        <v>0.49930000000000002</v>
      </c>
      <c r="S124" s="23">
        <v>0.5</v>
      </c>
      <c r="T124" s="32">
        <v>0.5</v>
      </c>
      <c r="U124" s="29">
        <v>53.5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0.2014</v>
      </c>
      <c r="AD124" s="23">
        <v>0</v>
      </c>
      <c r="AE124" s="23">
        <v>0</v>
      </c>
      <c r="AF124" s="23">
        <v>0</v>
      </c>
      <c r="AG124" s="23">
        <v>0.37130000000000002</v>
      </c>
      <c r="AH124" s="23">
        <v>47.092700000000001</v>
      </c>
      <c r="AI124" s="23">
        <v>3.8399999999999997E-2</v>
      </c>
      <c r="AJ124" s="23">
        <v>0</v>
      </c>
      <c r="AK124" s="23">
        <v>0</v>
      </c>
      <c r="AL124" s="23">
        <f t="shared" si="0"/>
        <v>101.2038</v>
      </c>
    </row>
    <row r="125" spans="8:38" x14ac:dyDescent="0.3">
      <c r="H125" s="32">
        <v>20.5</v>
      </c>
      <c r="I125" s="29">
        <v>307</v>
      </c>
      <c r="J125" s="23">
        <v>210</v>
      </c>
      <c r="K125" s="30">
        <v>43</v>
      </c>
      <c r="L125" s="31">
        <v>0</v>
      </c>
      <c r="M125" s="23">
        <v>0.37640000000000001</v>
      </c>
      <c r="N125" s="23">
        <v>0.5</v>
      </c>
      <c r="O125" s="23">
        <v>0.5</v>
      </c>
      <c r="P125" s="23">
        <v>0.34089999999999998</v>
      </c>
      <c r="Q125" s="23">
        <v>0</v>
      </c>
      <c r="R125" s="23">
        <v>0.46150000000000002</v>
      </c>
      <c r="S125" s="23">
        <v>0.5</v>
      </c>
      <c r="T125" s="32">
        <v>0.5</v>
      </c>
      <c r="U125" s="29">
        <v>53.5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0.1986</v>
      </c>
      <c r="AD125" s="23">
        <v>0</v>
      </c>
      <c r="AE125" s="23">
        <v>0</v>
      </c>
      <c r="AF125" s="23">
        <v>0</v>
      </c>
      <c r="AG125" s="23">
        <v>1.1625000000000001</v>
      </c>
      <c r="AH125" s="23">
        <v>45.607799999999997</v>
      </c>
      <c r="AI125" s="23">
        <v>2.0206</v>
      </c>
      <c r="AJ125" s="23">
        <v>0</v>
      </c>
      <c r="AK125" s="23">
        <v>0</v>
      </c>
      <c r="AL125" s="23">
        <f t="shared" si="0"/>
        <v>102.48949999999999</v>
      </c>
    </row>
    <row r="126" spans="8:38" x14ac:dyDescent="0.3">
      <c r="H126" s="32">
        <v>21</v>
      </c>
      <c r="I126" s="29">
        <v>307</v>
      </c>
      <c r="J126" s="23">
        <v>210</v>
      </c>
      <c r="K126" s="30">
        <v>43</v>
      </c>
      <c r="L126" s="31">
        <v>0</v>
      </c>
      <c r="M126" s="23">
        <v>0.1694</v>
      </c>
      <c r="N126" s="23">
        <v>0.5</v>
      </c>
      <c r="O126" s="23">
        <v>0.5</v>
      </c>
      <c r="P126" s="23">
        <v>7.4399999999999994E-2</v>
      </c>
      <c r="Q126" s="23">
        <v>0</v>
      </c>
      <c r="R126" s="23">
        <v>0.39960000000000001</v>
      </c>
      <c r="S126" s="23">
        <v>0.5</v>
      </c>
      <c r="T126" s="32">
        <v>0.5</v>
      </c>
      <c r="U126" s="29">
        <v>53.5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0.1986</v>
      </c>
      <c r="AD126" s="23">
        <v>0</v>
      </c>
      <c r="AE126" s="23">
        <v>0</v>
      </c>
      <c r="AF126" s="23">
        <v>0</v>
      </c>
      <c r="AG126" s="23">
        <v>2.9323000000000001</v>
      </c>
      <c r="AH126" s="23">
        <v>27.616700000000002</v>
      </c>
      <c r="AI126" s="23">
        <v>5.2709000000000001</v>
      </c>
      <c r="AJ126" s="23">
        <v>0</v>
      </c>
      <c r="AK126" s="23">
        <v>0</v>
      </c>
      <c r="AL126" s="23">
        <f t="shared" si="0"/>
        <v>89.518500000000003</v>
      </c>
    </row>
    <row r="127" spans="8:38" x14ac:dyDescent="0.3">
      <c r="H127" s="32">
        <v>21.5</v>
      </c>
      <c r="I127" s="29">
        <v>307</v>
      </c>
      <c r="J127" s="23">
        <v>210</v>
      </c>
      <c r="K127" s="30">
        <v>43</v>
      </c>
      <c r="L127" s="31">
        <v>0</v>
      </c>
      <c r="M127" s="23">
        <v>0.19170000000000001</v>
      </c>
      <c r="N127" s="23">
        <v>0.5</v>
      </c>
      <c r="O127" s="23">
        <v>0.5</v>
      </c>
      <c r="P127" s="23">
        <v>0.12989999999999999</v>
      </c>
      <c r="Q127" s="23">
        <v>0</v>
      </c>
      <c r="R127" s="23">
        <v>0.29820000000000002</v>
      </c>
      <c r="S127" s="23">
        <v>0.5</v>
      </c>
      <c r="T127" s="32">
        <v>0.5</v>
      </c>
      <c r="U127" s="29">
        <v>53.5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0.1986</v>
      </c>
      <c r="AD127" s="23">
        <v>0</v>
      </c>
      <c r="AE127" s="23">
        <v>0</v>
      </c>
      <c r="AF127" s="23">
        <v>0</v>
      </c>
      <c r="AG127" s="23">
        <v>2.3473000000000002</v>
      </c>
      <c r="AH127" s="23">
        <v>34.675400000000003</v>
      </c>
      <c r="AI127" s="23">
        <v>10.595499999999999</v>
      </c>
      <c r="AJ127" s="23">
        <v>0</v>
      </c>
      <c r="AK127" s="23">
        <v>0</v>
      </c>
      <c r="AL127" s="23">
        <f t="shared" si="0"/>
        <v>101.3168</v>
      </c>
    </row>
    <row r="128" spans="8:38" x14ac:dyDescent="0.3">
      <c r="H128" s="32">
        <v>22</v>
      </c>
      <c r="I128" s="29">
        <v>307</v>
      </c>
      <c r="J128" s="23">
        <v>210</v>
      </c>
      <c r="K128" s="30">
        <v>43</v>
      </c>
      <c r="L128" s="31">
        <v>0</v>
      </c>
      <c r="M128" s="23">
        <v>0.1903</v>
      </c>
      <c r="N128" s="23">
        <v>0.5</v>
      </c>
      <c r="O128" s="23">
        <v>0.5</v>
      </c>
      <c r="P128" s="23">
        <v>0.16569999999999999</v>
      </c>
      <c r="Q128" s="23">
        <v>0</v>
      </c>
      <c r="R128" s="23">
        <v>0.28939999999999999</v>
      </c>
      <c r="S128" s="23">
        <v>0.5</v>
      </c>
      <c r="T128" s="32">
        <v>0.5</v>
      </c>
      <c r="U128" s="29">
        <v>53.5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0.1986</v>
      </c>
      <c r="AD128" s="23">
        <v>0</v>
      </c>
      <c r="AE128" s="23">
        <v>0</v>
      </c>
      <c r="AF128" s="23">
        <v>0</v>
      </c>
      <c r="AG128" s="23">
        <v>1.9574</v>
      </c>
      <c r="AH128" s="23">
        <v>33.599400000000003</v>
      </c>
      <c r="AI128" s="23">
        <v>11.0585</v>
      </c>
      <c r="AJ128" s="23">
        <v>0</v>
      </c>
      <c r="AK128" s="23">
        <v>0</v>
      </c>
      <c r="AL128" s="23">
        <f t="shared" si="0"/>
        <v>100.3139</v>
      </c>
    </row>
    <row r="129" spans="8:38" x14ac:dyDescent="0.3">
      <c r="H129" s="32">
        <v>22.5</v>
      </c>
      <c r="I129" s="29">
        <v>307</v>
      </c>
      <c r="J129" s="23">
        <v>210</v>
      </c>
      <c r="K129" s="30">
        <v>43</v>
      </c>
      <c r="L129" s="31">
        <v>0</v>
      </c>
      <c r="M129" s="23">
        <v>0.15279999999999999</v>
      </c>
      <c r="N129" s="23">
        <v>0.5</v>
      </c>
      <c r="O129" s="23">
        <v>0.5</v>
      </c>
      <c r="P129" s="23">
        <v>0.1792</v>
      </c>
      <c r="Q129" s="23">
        <v>0</v>
      </c>
      <c r="R129" s="23">
        <v>0.27539999999999998</v>
      </c>
      <c r="S129" s="23">
        <v>0.5</v>
      </c>
      <c r="T129" s="32">
        <v>0.5</v>
      </c>
      <c r="U129" s="29">
        <v>53.5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0.1986</v>
      </c>
      <c r="AD129" s="23">
        <v>0</v>
      </c>
      <c r="AE129" s="23">
        <v>0</v>
      </c>
      <c r="AF129" s="23">
        <v>0</v>
      </c>
      <c r="AG129" s="23">
        <v>1.8908</v>
      </c>
      <c r="AH129" s="23">
        <v>34.567799999999998</v>
      </c>
      <c r="AI129" s="23">
        <v>11.7928</v>
      </c>
      <c r="AJ129" s="23">
        <v>0</v>
      </c>
      <c r="AK129" s="23">
        <v>0</v>
      </c>
      <c r="AL129" s="23">
        <f t="shared" si="0"/>
        <v>101.94999999999999</v>
      </c>
    </row>
    <row r="130" spans="8:38" x14ac:dyDescent="0.3">
      <c r="H130" s="32">
        <v>23</v>
      </c>
      <c r="I130" s="29">
        <v>307</v>
      </c>
      <c r="J130" s="23">
        <v>210</v>
      </c>
      <c r="K130" s="30">
        <v>46</v>
      </c>
      <c r="L130" s="31">
        <v>0</v>
      </c>
      <c r="M130" s="23">
        <v>0.2944</v>
      </c>
      <c r="N130" s="23">
        <v>0.34439999999999998</v>
      </c>
      <c r="O130" s="23">
        <v>0.5</v>
      </c>
      <c r="P130" s="23">
        <v>0.15709999999999999</v>
      </c>
      <c r="Q130" s="23">
        <v>0</v>
      </c>
      <c r="R130" s="23">
        <v>0.25819999999999999</v>
      </c>
      <c r="S130" s="23">
        <v>0.49380000000000002</v>
      </c>
      <c r="T130" s="32">
        <v>0.46989999999999998</v>
      </c>
      <c r="U130" s="29">
        <v>53.5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0.21490000000000001</v>
      </c>
      <c r="AD130" s="23">
        <v>0</v>
      </c>
      <c r="AE130" s="23">
        <v>0</v>
      </c>
      <c r="AF130" s="23">
        <v>0</v>
      </c>
      <c r="AG130" s="23">
        <v>2.2557</v>
      </c>
      <c r="AH130" s="23">
        <v>39.216200000000001</v>
      </c>
      <c r="AI130" s="23">
        <v>12.6998</v>
      </c>
      <c r="AJ130" s="23">
        <v>1.24E-2</v>
      </c>
      <c r="AK130" s="23">
        <v>1.4367000000000001</v>
      </c>
      <c r="AL130" s="23">
        <f t="shared" si="0"/>
        <v>109.3357</v>
      </c>
    </row>
    <row r="131" spans="8:38" x14ac:dyDescent="0.3">
      <c r="H131" s="32">
        <v>23.5</v>
      </c>
      <c r="I131" s="29">
        <v>307</v>
      </c>
      <c r="J131" s="23">
        <v>211</v>
      </c>
      <c r="K131" s="30">
        <v>67</v>
      </c>
      <c r="L131" s="31">
        <v>0</v>
      </c>
      <c r="M131" s="23">
        <v>0.46529999999999999</v>
      </c>
      <c r="N131" s="23">
        <v>0</v>
      </c>
      <c r="O131" s="23">
        <v>0.5</v>
      </c>
      <c r="P131" s="23">
        <v>0.1069</v>
      </c>
      <c r="Q131" s="23">
        <v>0</v>
      </c>
      <c r="R131" s="23">
        <v>0.1072</v>
      </c>
      <c r="S131" s="23">
        <v>0.4229</v>
      </c>
      <c r="T131" s="32">
        <v>0.35510000000000003</v>
      </c>
      <c r="U131" s="29">
        <v>53.5</v>
      </c>
      <c r="V131" s="23">
        <v>0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  <c r="AC131" s="23">
        <v>0.23749999999999999</v>
      </c>
      <c r="AD131" s="23">
        <v>0</v>
      </c>
      <c r="AE131" s="23">
        <v>0</v>
      </c>
      <c r="AF131" s="23">
        <v>0</v>
      </c>
      <c r="AG131" s="23">
        <v>3.8410000000000002</v>
      </c>
      <c r="AH131" s="23">
        <v>46.493200000000002</v>
      </c>
      <c r="AI131" s="23">
        <v>20.6279</v>
      </c>
      <c r="AJ131" s="23">
        <v>0.15310000000000001</v>
      </c>
      <c r="AK131" s="23">
        <v>6.8329000000000004</v>
      </c>
      <c r="AL131" s="23">
        <f t="shared" si="0"/>
        <v>131.68559999999999</v>
      </c>
    </row>
    <row r="132" spans="8:38" x14ac:dyDescent="0.3">
      <c r="H132" s="32">
        <v>24</v>
      </c>
      <c r="I132" s="29">
        <v>307</v>
      </c>
      <c r="J132" s="23">
        <v>241</v>
      </c>
      <c r="K132" s="30">
        <v>67</v>
      </c>
      <c r="L132" s="31">
        <v>0</v>
      </c>
      <c r="M132" s="23">
        <v>0.29580000000000001</v>
      </c>
      <c r="N132" s="23">
        <v>0</v>
      </c>
      <c r="O132" s="23">
        <v>0.5</v>
      </c>
      <c r="P132" s="23">
        <v>0</v>
      </c>
      <c r="Q132" s="23">
        <v>0</v>
      </c>
      <c r="R132" s="23">
        <v>0.48780000000000001</v>
      </c>
      <c r="S132" s="23">
        <v>0.25</v>
      </c>
      <c r="T132" s="32">
        <v>0</v>
      </c>
      <c r="U132" s="29">
        <v>53.5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0.19969999999999999</v>
      </c>
      <c r="AD132" s="23">
        <v>0</v>
      </c>
      <c r="AE132" s="23">
        <v>0</v>
      </c>
      <c r="AF132" s="23">
        <v>0</v>
      </c>
      <c r="AG132" s="23">
        <v>4.4180000000000001</v>
      </c>
      <c r="AH132" s="23">
        <v>40.219000000000001</v>
      </c>
      <c r="AI132" s="23">
        <v>0.64259999999999995</v>
      </c>
      <c r="AJ132" s="23">
        <v>0.4965</v>
      </c>
      <c r="AK132" s="23">
        <v>18.053599999999999</v>
      </c>
      <c r="AL132" s="23">
        <f t="shared" si="0"/>
        <v>117.52940000000001</v>
      </c>
    </row>
    <row r="133" spans="8:38" x14ac:dyDescent="0.3">
      <c r="H133" s="32">
        <v>24.5</v>
      </c>
      <c r="I133" s="29">
        <v>307</v>
      </c>
      <c r="J133" s="23">
        <v>305</v>
      </c>
      <c r="K133" s="30">
        <v>75</v>
      </c>
      <c r="L133" s="31">
        <v>0</v>
      </c>
      <c r="M133" s="23">
        <v>0.29310000000000003</v>
      </c>
      <c r="N133" s="23">
        <v>0.19439999999999999</v>
      </c>
      <c r="O133" s="23">
        <v>0.5</v>
      </c>
      <c r="P133" s="23">
        <v>0</v>
      </c>
      <c r="Q133" s="23">
        <v>0</v>
      </c>
      <c r="R133" s="23">
        <v>0.4844</v>
      </c>
      <c r="S133" s="23">
        <v>0.5</v>
      </c>
      <c r="T133" s="32">
        <v>0.16109999999999999</v>
      </c>
      <c r="U133" s="29">
        <v>53.5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0.1986</v>
      </c>
      <c r="AD133" s="23">
        <v>0</v>
      </c>
      <c r="AE133" s="23">
        <v>0</v>
      </c>
      <c r="AF133" s="23">
        <v>0</v>
      </c>
      <c r="AG133" s="23">
        <v>4.0374999999999996</v>
      </c>
      <c r="AH133" s="23">
        <v>40.558700000000002</v>
      </c>
      <c r="AI133" s="23">
        <v>0.81659999999999999</v>
      </c>
      <c r="AJ133" s="23">
        <v>0</v>
      </c>
      <c r="AK133" s="23">
        <v>16.051300000000001</v>
      </c>
      <c r="AL133" s="23">
        <f t="shared" si="0"/>
        <v>115.1627</v>
      </c>
    </row>
    <row r="134" spans="8:38" x14ac:dyDescent="0.3">
      <c r="H134" s="32">
        <v>25</v>
      </c>
      <c r="I134" s="29">
        <v>307</v>
      </c>
      <c r="J134" s="23">
        <v>305</v>
      </c>
      <c r="K134" s="30">
        <v>75</v>
      </c>
      <c r="L134" s="31">
        <v>1.9400000000000001E-2</v>
      </c>
      <c r="M134" s="23">
        <v>0.2944</v>
      </c>
      <c r="N134" s="23">
        <v>0.5</v>
      </c>
      <c r="O134" s="23">
        <v>0.5</v>
      </c>
      <c r="P134" s="23">
        <v>1.4E-3</v>
      </c>
      <c r="Q134" s="23">
        <v>0</v>
      </c>
      <c r="R134" s="23">
        <v>0.33</v>
      </c>
      <c r="S134" s="23">
        <v>0.5</v>
      </c>
      <c r="T134" s="32">
        <v>0.5</v>
      </c>
      <c r="U134" s="29">
        <v>53.5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0.19089999999999999</v>
      </c>
      <c r="AD134" s="23">
        <v>0</v>
      </c>
      <c r="AE134" s="23">
        <v>0</v>
      </c>
      <c r="AF134" s="23">
        <v>0</v>
      </c>
      <c r="AG134" s="23">
        <v>3.9051</v>
      </c>
      <c r="AH134" s="23">
        <v>32.136000000000003</v>
      </c>
      <c r="AI134" s="23">
        <v>8.9248999999999992</v>
      </c>
      <c r="AJ134" s="23">
        <v>0</v>
      </c>
      <c r="AK134" s="23">
        <v>0</v>
      </c>
      <c r="AL134" s="23">
        <f t="shared" si="0"/>
        <v>98.656899999999993</v>
      </c>
    </row>
    <row r="135" spans="8:38" x14ac:dyDescent="0.3">
      <c r="H135" s="32">
        <v>25.5</v>
      </c>
      <c r="I135" s="29">
        <v>307</v>
      </c>
      <c r="J135" s="23">
        <v>305</v>
      </c>
      <c r="K135" s="30">
        <v>75</v>
      </c>
      <c r="L135" s="31">
        <v>0.5</v>
      </c>
      <c r="M135" s="23">
        <v>0.49859999999999999</v>
      </c>
      <c r="N135" s="23">
        <v>0.5</v>
      </c>
      <c r="O135" s="23">
        <v>0.5</v>
      </c>
      <c r="P135" s="23">
        <v>0.43049999999999999</v>
      </c>
      <c r="Q135" s="23">
        <v>0</v>
      </c>
      <c r="R135" s="23">
        <v>0.12989999999999999</v>
      </c>
      <c r="S135" s="23">
        <v>0.5</v>
      </c>
      <c r="T135" s="32">
        <v>0.5</v>
      </c>
      <c r="U135" s="29">
        <v>53.5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0.59089999999999998</v>
      </c>
      <c r="AH135" s="23">
        <v>22.775600000000001</v>
      </c>
      <c r="AI135" s="23">
        <v>19.434100000000001</v>
      </c>
      <c r="AJ135" s="23">
        <v>0</v>
      </c>
      <c r="AK135" s="23">
        <v>0</v>
      </c>
      <c r="AL135" s="23">
        <f t="shared" si="0"/>
        <v>96.300600000000003</v>
      </c>
    </row>
    <row r="136" spans="8:38" x14ac:dyDescent="0.3">
      <c r="H136" s="32">
        <v>26</v>
      </c>
      <c r="I136" s="29">
        <v>307</v>
      </c>
      <c r="J136" s="23">
        <v>305</v>
      </c>
      <c r="K136" s="30">
        <v>75</v>
      </c>
      <c r="L136" s="31">
        <v>0.5</v>
      </c>
      <c r="M136" s="23">
        <v>0.5</v>
      </c>
      <c r="N136" s="23">
        <v>0.5</v>
      </c>
      <c r="O136" s="23">
        <v>0.5</v>
      </c>
      <c r="P136" s="23">
        <v>0.5</v>
      </c>
      <c r="Q136" s="23">
        <v>0</v>
      </c>
      <c r="R136" s="23">
        <v>7.0800000000000002E-2</v>
      </c>
      <c r="S136" s="23">
        <v>0.5</v>
      </c>
      <c r="T136" s="32">
        <v>0.5</v>
      </c>
      <c r="U136" s="29">
        <v>53.5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39.552</v>
      </c>
      <c r="AI136" s="23">
        <v>22.537600000000001</v>
      </c>
      <c r="AJ136" s="23">
        <v>0</v>
      </c>
      <c r="AK136" s="23">
        <v>0</v>
      </c>
      <c r="AL136" s="23">
        <f t="shared" si="0"/>
        <v>115.58959999999999</v>
      </c>
    </row>
    <row r="137" spans="8:38" x14ac:dyDescent="0.3">
      <c r="H137" s="32">
        <v>26.5</v>
      </c>
      <c r="I137" s="29">
        <v>307</v>
      </c>
      <c r="J137" s="23">
        <v>305</v>
      </c>
      <c r="K137" s="30">
        <v>75</v>
      </c>
      <c r="L137" s="31">
        <v>0.5</v>
      </c>
      <c r="M137" s="23">
        <v>0.5</v>
      </c>
      <c r="N137" s="23">
        <v>0.5</v>
      </c>
      <c r="O137" s="23">
        <v>0.5</v>
      </c>
      <c r="P137" s="23">
        <v>0.5</v>
      </c>
      <c r="Q137" s="23">
        <v>0</v>
      </c>
      <c r="R137" s="23">
        <v>7.0800000000000002E-2</v>
      </c>
      <c r="S137" s="23">
        <v>0.5</v>
      </c>
      <c r="T137" s="32">
        <v>0.5</v>
      </c>
      <c r="U137" s="29">
        <v>53.5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43.512999999999998</v>
      </c>
      <c r="AI137" s="23">
        <v>22.537600000000001</v>
      </c>
      <c r="AJ137" s="23">
        <v>0</v>
      </c>
      <c r="AK137" s="23">
        <v>0</v>
      </c>
      <c r="AL137" s="23">
        <f t="shared" si="0"/>
        <v>119.5506</v>
      </c>
    </row>
    <row r="138" spans="8:38" x14ac:dyDescent="0.3">
      <c r="H138" s="32">
        <v>27</v>
      </c>
      <c r="I138" s="29">
        <v>307</v>
      </c>
      <c r="J138" s="23">
        <v>320</v>
      </c>
      <c r="K138" s="30">
        <v>97</v>
      </c>
      <c r="L138" s="31">
        <v>0.5</v>
      </c>
      <c r="M138" s="23">
        <v>0.5</v>
      </c>
      <c r="N138" s="23">
        <v>0.5</v>
      </c>
      <c r="O138" s="23">
        <v>0.5</v>
      </c>
      <c r="P138" s="23">
        <v>0.3115</v>
      </c>
      <c r="Q138" s="23">
        <v>0</v>
      </c>
      <c r="R138" s="23">
        <v>0.16309999999999999</v>
      </c>
      <c r="S138" s="23">
        <v>0.3</v>
      </c>
      <c r="T138" s="32">
        <v>0</v>
      </c>
      <c r="U138" s="29">
        <v>53.5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2.2035999999999998</v>
      </c>
      <c r="AH138" s="23">
        <v>27.667899999999999</v>
      </c>
      <c r="AI138" s="23">
        <v>17.691500000000001</v>
      </c>
      <c r="AJ138" s="23">
        <v>0.3972</v>
      </c>
      <c r="AK138" s="23">
        <v>21.596399999999999</v>
      </c>
      <c r="AL138" s="23">
        <f t="shared" si="0"/>
        <v>123.0566</v>
      </c>
    </row>
    <row r="139" spans="8:38" x14ac:dyDescent="0.3">
      <c r="H139" s="32">
        <v>27.5</v>
      </c>
      <c r="I139" s="29">
        <v>307</v>
      </c>
      <c r="J139" s="23">
        <v>367</v>
      </c>
      <c r="K139" s="30">
        <v>141</v>
      </c>
      <c r="L139" s="31">
        <v>0.5</v>
      </c>
      <c r="M139" s="23">
        <v>0.5</v>
      </c>
      <c r="N139" s="23">
        <v>0.5</v>
      </c>
      <c r="O139" s="23">
        <v>0.5</v>
      </c>
      <c r="P139" s="23">
        <v>0.47120000000000001</v>
      </c>
      <c r="Q139" s="23">
        <v>0</v>
      </c>
      <c r="R139" s="23">
        <v>0.1166</v>
      </c>
      <c r="S139" s="23">
        <v>0.49170000000000003</v>
      </c>
      <c r="T139" s="32">
        <v>0</v>
      </c>
      <c r="U139" s="29">
        <v>53.5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0.14940000000000001</v>
      </c>
      <c r="AH139" s="23">
        <v>40.601300000000002</v>
      </c>
      <c r="AI139" s="23">
        <v>20.135999999999999</v>
      </c>
      <c r="AJ139" s="23">
        <v>1.6500000000000001E-2</v>
      </c>
      <c r="AK139" s="23">
        <v>21.047799999999999</v>
      </c>
      <c r="AL139" s="23">
        <f t="shared" si="0"/>
        <v>135.45099999999999</v>
      </c>
    </row>
    <row r="140" spans="8:38" x14ac:dyDescent="0.3">
      <c r="H140" s="32">
        <v>28</v>
      </c>
      <c r="I140" s="29">
        <v>307</v>
      </c>
      <c r="J140" s="23">
        <v>396</v>
      </c>
      <c r="K140" s="30">
        <v>141</v>
      </c>
      <c r="L140" s="31">
        <v>0.5</v>
      </c>
      <c r="M140" s="23">
        <v>0.5</v>
      </c>
      <c r="N140" s="23">
        <v>0.5</v>
      </c>
      <c r="O140" s="23">
        <v>0.5</v>
      </c>
      <c r="P140" s="23">
        <v>0.4788</v>
      </c>
      <c r="Q140" s="23">
        <v>0</v>
      </c>
      <c r="R140" s="23">
        <v>2.6599999999999999E-2</v>
      </c>
      <c r="S140" s="23">
        <v>0.45829999999999999</v>
      </c>
      <c r="T140" s="32">
        <v>0.2833</v>
      </c>
      <c r="U140" s="29">
        <v>53.5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1.8800000000000001E-2</v>
      </c>
      <c r="AH140" s="23">
        <v>39.552</v>
      </c>
      <c r="AI140" s="23">
        <v>24.8614</v>
      </c>
      <c r="AJ140" s="23">
        <v>8.2699999999999996E-2</v>
      </c>
      <c r="AK140" s="23">
        <v>9.6326999999999998</v>
      </c>
      <c r="AL140" s="23">
        <f t="shared" si="0"/>
        <v>127.6476</v>
      </c>
    </row>
    <row r="141" spans="8:38" x14ac:dyDescent="0.3">
      <c r="H141" s="32">
        <v>28.5</v>
      </c>
      <c r="I141" s="29">
        <v>307</v>
      </c>
      <c r="J141" s="23">
        <v>396</v>
      </c>
      <c r="K141" s="30">
        <v>141</v>
      </c>
      <c r="L141" s="31">
        <v>0.5</v>
      </c>
      <c r="M141" s="23">
        <v>0.5</v>
      </c>
      <c r="N141" s="23">
        <v>0.5</v>
      </c>
      <c r="O141" s="23">
        <v>0.5</v>
      </c>
      <c r="P141" s="23">
        <v>0.43380000000000002</v>
      </c>
      <c r="Q141" s="23">
        <v>0</v>
      </c>
      <c r="R141" s="23">
        <v>0</v>
      </c>
      <c r="S141" s="23">
        <v>0.5</v>
      </c>
      <c r="T141" s="32">
        <v>0.5</v>
      </c>
      <c r="U141" s="29">
        <v>53.5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23">
        <v>0</v>
      </c>
      <c r="AD141" s="23">
        <v>0</v>
      </c>
      <c r="AE141" s="23">
        <v>0</v>
      </c>
      <c r="AF141" s="23">
        <v>0</v>
      </c>
      <c r="AG141" s="23">
        <v>0.49759999999999999</v>
      </c>
      <c r="AH141" s="23">
        <v>41.655900000000003</v>
      </c>
      <c r="AI141" s="23">
        <v>26.2575</v>
      </c>
      <c r="AJ141" s="23">
        <v>0</v>
      </c>
      <c r="AK141" s="23">
        <v>0</v>
      </c>
      <c r="AL141" s="23">
        <f t="shared" si="0"/>
        <v>121.911</v>
      </c>
    </row>
    <row r="142" spans="8:38" x14ac:dyDescent="0.3">
      <c r="H142" s="32">
        <v>29</v>
      </c>
      <c r="I142" s="29">
        <v>307</v>
      </c>
      <c r="J142" s="23">
        <v>396</v>
      </c>
      <c r="K142" s="30">
        <v>141</v>
      </c>
      <c r="L142" s="31">
        <v>0.5</v>
      </c>
      <c r="M142" s="23">
        <v>0.5</v>
      </c>
      <c r="N142" s="23">
        <v>0.5</v>
      </c>
      <c r="O142" s="23">
        <v>0.5</v>
      </c>
      <c r="P142" s="23">
        <v>0.27089999999999997</v>
      </c>
      <c r="Q142" s="23">
        <v>0</v>
      </c>
      <c r="R142" s="23">
        <v>0</v>
      </c>
      <c r="S142" s="23">
        <v>0.5</v>
      </c>
      <c r="T142" s="32">
        <v>0.5</v>
      </c>
      <c r="U142" s="29">
        <v>53.5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23"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2.1812999999999998</v>
      </c>
      <c r="AH142" s="23">
        <v>47.221800000000002</v>
      </c>
      <c r="AI142" s="23">
        <v>26.2575</v>
      </c>
      <c r="AJ142" s="23">
        <v>0</v>
      </c>
      <c r="AK142" s="23">
        <v>0</v>
      </c>
      <c r="AL142" s="23">
        <f t="shared" si="0"/>
        <v>129.16059999999999</v>
      </c>
    </row>
    <row r="143" spans="8:38" x14ac:dyDescent="0.3">
      <c r="H143" s="32">
        <v>29.5</v>
      </c>
      <c r="I143" s="29">
        <v>307</v>
      </c>
      <c r="J143" s="23">
        <v>396</v>
      </c>
      <c r="K143" s="30">
        <v>141</v>
      </c>
      <c r="L143" s="31">
        <v>0.5</v>
      </c>
      <c r="M143" s="23">
        <v>0.5</v>
      </c>
      <c r="N143" s="23">
        <v>0.5</v>
      </c>
      <c r="O143" s="23">
        <v>0.5</v>
      </c>
      <c r="P143" s="23">
        <v>0.2707</v>
      </c>
      <c r="Q143" s="23">
        <v>0</v>
      </c>
      <c r="R143" s="23">
        <v>0</v>
      </c>
      <c r="S143" s="23">
        <v>0.5</v>
      </c>
      <c r="T143" s="32">
        <v>0.5</v>
      </c>
      <c r="U143" s="29">
        <v>53.5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>
        <v>0</v>
      </c>
      <c r="AG143" s="23">
        <v>2.1835</v>
      </c>
      <c r="AH143" s="23">
        <v>47.221800000000002</v>
      </c>
      <c r="AI143" s="23">
        <v>26.2575</v>
      </c>
      <c r="AJ143" s="23">
        <v>0</v>
      </c>
      <c r="AK143" s="23">
        <v>0</v>
      </c>
      <c r="AL143" s="23">
        <f t="shared" si="0"/>
        <v>129.1628</v>
      </c>
    </row>
    <row r="144" spans="8:38" x14ac:dyDescent="0.3">
      <c r="H144" s="32">
        <v>30</v>
      </c>
      <c r="I144" s="29">
        <v>307</v>
      </c>
      <c r="J144" s="23">
        <v>435</v>
      </c>
      <c r="K144" s="30">
        <v>141</v>
      </c>
      <c r="L144" s="31">
        <v>0.5</v>
      </c>
      <c r="M144" s="23">
        <v>0.5</v>
      </c>
      <c r="N144" s="23">
        <v>0.5</v>
      </c>
      <c r="O144" s="23">
        <v>0.5</v>
      </c>
      <c r="P144" s="23">
        <v>0.27089999999999997</v>
      </c>
      <c r="Q144" s="23">
        <v>0</v>
      </c>
      <c r="R144" s="23">
        <v>0</v>
      </c>
      <c r="S144" s="23">
        <v>0.41670000000000001</v>
      </c>
      <c r="T144" s="32">
        <v>8.9099999999999999E-2</v>
      </c>
      <c r="U144" s="29">
        <v>53.5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23">
        <v>0</v>
      </c>
      <c r="AD144" s="23">
        <v>0</v>
      </c>
      <c r="AE144" s="23">
        <v>0</v>
      </c>
      <c r="AF144" s="23">
        <v>0</v>
      </c>
      <c r="AG144" s="23">
        <v>2.1812999999999998</v>
      </c>
      <c r="AH144" s="23">
        <v>47.221800000000002</v>
      </c>
      <c r="AI144" s="23">
        <v>29.1068</v>
      </c>
      <c r="AJ144" s="23">
        <v>0.16550000000000001</v>
      </c>
      <c r="AK144" s="23">
        <v>15.816000000000001</v>
      </c>
      <c r="AL144" s="23">
        <f t="shared" si="0"/>
        <v>147.9914</v>
      </c>
    </row>
    <row r="145" spans="8:38" x14ac:dyDescent="0.3">
      <c r="H145" s="32">
        <v>30.5</v>
      </c>
      <c r="I145" s="29">
        <v>307</v>
      </c>
      <c r="J145" s="23">
        <v>471</v>
      </c>
      <c r="K145" s="30">
        <v>141</v>
      </c>
      <c r="L145" s="31">
        <v>0.5</v>
      </c>
      <c r="M145" s="23">
        <v>0.5</v>
      </c>
      <c r="N145" s="23">
        <v>0.5</v>
      </c>
      <c r="O145" s="23">
        <v>0.5</v>
      </c>
      <c r="P145" s="23">
        <v>0.2707</v>
      </c>
      <c r="Q145" s="23">
        <v>0</v>
      </c>
      <c r="R145" s="23">
        <v>0</v>
      </c>
      <c r="S145" s="23">
        <v>0.3125</v>
      </c>
      <c r="T145" s="32">
        <v>0</v>
      </c>
      <c r="U145" s="29">
        <v>53.5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2.1835</v>
      </c>
      <c r="AH145" s="23">
        <v>47.221800000000002</v>
      </c>
      <c r="AI145" s="23">
        <v>42.102200000000003</v>
      </c>
      <c r="AJ145" s="23">
        <v>0.37240000000000001</v>
      </c>
      <c r="AK145" s="23">
        <v>18.716999999999999</v>
      </c>
      <c r="AL145" s="23">
        <f t="shared" si="0"/>
        <v>164.09690000000001</v>
      </c>
    </row>
    <row r="146" spans="8:38" x14ac:dyDescent="0.3">
      <c r="H146" s="32">
        <v>31</v>
      </c>
      <c r="I146" s="29">
        <v>330</v>
      </c>
      <c r="J146" s="23">
        <v>535</v>
      </c>
      <c r="K146" s="30">
        <v>141</v>
      </c>
      <c r="L146" s="31">
        <v>0.5</v>
      </c>
      <c r="M146" s="23">
        <v>0.5</v>
      </c>
      <c r="N146" s="23">
        <v>0.5</v>
      </c>
      <c r="O146" s="23">
        <v>0.5</v>
      </c>
      <c r="P146" s="23">
        <v>0.45150000000000001</v>
      </c>
      <c r="Q146" s="23">
        <v>0.42049999999999998</v>
      </c>
      <c r="R146" s="23">
        <v>0</v>
      </c>
      <c r="S146" s="23">
        <v>0.3125</v>
      </c>
      <c r="T146" s="32">
        <v>0</v>
      </c>
      <c r="U146" s="29">
        <v>53.5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23">
        <v>0</v>
      </c>
      <c r="AD146" s="23">
        <v>0</v>
      </c>
      <c r="AE146" s="23">
        <v>0</v>
      </c>
      <c r="AF146" s="23">
        <v>0</v>
      </c>
      <c r="AG146" s="23">
        <v>0.46179999999999999</v>
      </c>
      <c r="AH146" s="23">
        <v>7.5095999999999998</v>
      </c>
      <c r="AI146" s="23">
        <v>57.6693</v>
      </c>
      <c r="AJ146" s="23">
        <v>0.37240000000000001</v>
      </c>
      <c r="AK146" s="23">
        <v>23.746300000000002</v>
      </c>
      <c r="AL146" s="23">
        <f t="shared" si="0"/>
        <v>143.2594</v>
      </c>
    </row>
    <row r="147" spans="8:38" x14ac:dyDescent="0.3">
      <c r="H147" s="32">
        <v>31.5</v>
      </c>
      <c r="I147" s="29">
        <v>400</v>
      </c>
      <c r="J147" s="23">
        <v>540</v>
      </c>
      <c r="K147" s="30">
        <v>141</v>
      </c>
      <c r="L147" s="31">
        <v>0.5</v>
      </c>
      <c r="M147" s="23">
        <v>0.5</v>
      </c>
      <c r="N147" s="23">
        <v>0.5</v>
      </c>
      <c r="O147" s="23">
        <v>0.5</v>
      </c>
      <c r="P147" s="23">
        <v>0.5</v>
      </c>
      <c r="Q147" s="23">
        <v>0.5</v>
      </c>
      <c r="R147" s="23">
        <v>0</v>
      </c>
      <c r="S147" s="23">
        <v>0.5</v>
      </c>
      <c r="T147" s="32">
        <v>0</v>
      </c>
      <c r="U147" s="29">
        <v>53.5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23">
        <v>0</v>
      </c>
      <c r="AC147" s="23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3">
        <v>61.4664</v>
      </c>
      <c r="AJ147" s="23">
        <v>0</v>
      </c>
      <c r="AK147" s="23">
        <v>24.050899999999999</v>
      </c>
      <c r="AL147" s="23">
        <f t="shared" si="0"/>
        <v>139.01729999999998</v>
      </c>
    </row>
    <row r="148" spans="8:38" x14ac:dyDescent="0.3">
      <c r="H148" s="32">
        <v>32</v>
      </c>
      <c r="I148" s="29">
        <v>406</v>
      </c>
      <c r="J148" s="23">
        <v>540</v>
      </c>
      <c r="K148" s="30">
        <v>141</v>
      </c>
      <c r="L148" s="31">
        <v>0.5</v>
      </c>
      <c r="M148" s="23">
        <v>0.5</v>
      </c>
      <c r="N148" s="23">
        <v>0.5</v>
      </c>
      <c r="O148" s="23">
        <v>0.5</v>
      </c>
      <c r="P148" s="23">
        <v>0.5</v>
      </c>
      <c r="Q148" s="23">
        <v>0.5</v>
      </c>
      <c r="R148" s="23">
        <v>5.3699999999999998E-2</v>
      </c>
      <c r="S148" s="23">
        <v>4.1700000000000001E-2</v>
      </c>
      <c r="T148" s="32">
        <v>0</v>
      </c>
      <c r="U148" s="29">
        <v>53.5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0</v>
      </c>
      <c r="AG148" s="23">
        <v>0</v>
      </c>
      <c r="AH148" s="23">
        <v>0</v>
      </c>
      <c r="AI148" s="23">
        <v>23.437200000000001</v>
      </c>
      <c r="AJ148" s="23">
        <v>0.91020000000000001</v>
      </c>
      <c r="AK148" s="23">
        <v>24.164300000000001</v>
      </c>
      <c r="AL148" s="23">
        <f t="shared" ref="AL148:AL157" si="1">SUM(U148:AK148)</f>
        <v>102.0117</v>
      </c>
    </row>
    <row r="149" spans="8:38" x14ac:dyDescent="0.3">
      <c r="H149" s="32">
        <v>32.5</v>
      </c>
      <c r="I149" s="29">
        <v>406</v>
      </c>
      <c r="J149" s="23">
        <v>540</v>
      </c>
      <c r="K149" s="30">
        <v>141</v>
      </c>
      <c r="L149" s="31">
        <v>0.5</v>
      </c>
      <c r="M149" s="23">
        <v>0.5</v>
      </c>
      <c r="N149" s="23">
        <v>0.5</v>
      </c>
      <c r="O149" s="23">
        <v>0.5</v>
      </c>
      <c r="P149" s="23">
        <v>0.5</v>
      </c>
      <c r="Q149" s="23">
        <v>0.5</v>
      </c>
      <c r="R149" s="23">
        <v>6.4799999999999996E-2</v>
      </c>
      <c r="S149" s="23">
        <v>0.5</v>
      </c>
      <c r="T149" s="32">
        <v>0</v>
      </c>
      <c r="U149" s="29">
        <v>53.5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0</v>
      </c>
      <c r="AI149" s="23">
        <v>22.8537</v>
      </c>
      <c r="AJ149" s="23">
        <v>0</v>
      </c>
      <c r="AK149" s="23">
        <v>24.104900000000001</v>
      </c>
      <c r="AL149" s="23">
        <f t="shared" si="1"/>
        <v>100.4586</v>
      </c>
    </row>
    <row r="150" spans="8:38" x14ac:dyDescent="0.3">
      <c r="H150" s="32">
        <v>33</v>
      </c>
      <c r="I150" s="29">
        <v>459</v>
      </c>
      <c r="J150" s="23">
        <v>540</v>
      </c>
      <c r="K150" s="30">
        <v>226</v>
      </c>
      <c r="L150" s="31">
        <v>0.5</v>
      </c>
      <c r="M150" s="23">
        <v>0.5</v>
      </c>
      <c r="N150" s="23">
        <v>0.5</v>
      </c>
      <c r="O150" s="23">
        <v>0.5</v>
      </c>
      <c r="P150" s="23">
        <v>0.5</v>
      </c>
      <c r="Q150" s="23">
        <v>0.5</v>
      </c>
      <c r="R150" s="23">
        <v>6.4799999999999996E-2</v>
      </c>
      <c r="S150" s="23">
        <v>0.5</v>
      </c>
      <c r="T150" s="32">
        <v>0</v>
      </c>
      <c r="U150" s="29">
        <v>53.5</v>
      </c>
      <c r="V150" s="23">
        <v>0</v>
      </c>
      <c r="W150" s="23">
        <v>0</v>
      </c>
      <c r="X150" s="23">
        <v>0</v>
      </c>
      <c r="Y150" s="23">
        <v>0</v>
      </c>
      <c r="Z150" s="23">
        <v>0</v>
      </c>
      <c r="AA150" s="23">
        <v>0</v>
      </c>
      <c r="AB150" s="23">
        <v>0</v>
      </c>
      <c r="AC150" s="23">
        <v>0</v>
      </c>
      <c r="AD150" s="23">
        <v>0</v>
      </c>
      <c r="AE150" s="23">
        <v>0</v>
      </c>
      <c r="AF150" s="23">
        <v>0</v>
      </c>
      <c r="AG150" s="23">
        <v>0</v>
      </c>
      <c r="AH150" s="23">
        <v>0</v>
      </c>
      <c r="AI150" s="23">
        <v>22.8537</v>
      </c>
      <c r="AJ150" s="23">
        <v>0</v>
      </c>
      <c r="AK150" s="23">
        <v>23.518899999999999</v>
      </c>
      <c r="AL150" s="23">
        <f t="shared" si="1"/>
        <v>99.872600000000006</v>
      </c>
    </row>
    <row r="151" spans="8:38" x14ac:dyDescent="0.3">
      <c r="H151" s="32">
        <v>33.5</v>
      </c>
      <c r="I151" s="29">
        <v>530</v>
      </c>
      <c r="J151" s="23">
        <v>540</v>
      </c>
      <c r="K151" s="30">
        <v>302</v>
      </c>
      <c r="L151" s="31">
        <v>0.5</v>
      </c>
      <c r="M151" s="23">
        <v>0.5</v>
      </c>
      <c r="N151" s="23">
        <v>0.5</v>
      </c>
      <c r="O151" s="23">
        <v>0.5</v>
      </c>
      <c r="P151" s="23">
        <v>0.5</v>
      </c>
      <c r="Q151" s="23">
        <v>0.5</v>
      </c>
      <c r="R151" s="23">
        <v>6.4799999999999996E-2</v>
      </c>
      <c r="S151" s="23">
        <v>0.5</v>
      </c>
      <c r="T151" s="32">
        <v>0</v>
      </c>
      <c r="U151" s="29">
        <v>53.5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23">
        <v>0</v>
      </c>
      <c r="AC151" s="23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3">
        <v>22.8537</v>
      </c>
      <c r="AJ151" s="23">
        <v>0</v>
      </c>
      <c r="AK151" s="23">
        <v>23.496500000000001</v>
      </c>
      <c r="AL151" s="23">
        <f t="shared" si="1"/>
        <v>99.850200000000001</v>
      </c>
    </row>
    <row r="152" spans="8:38" x14ac:dyDescent="0.3">
      <c r="H152" s="32">
        <v>34</v>
      </c>
      <c r="I152" s="29">
        <v>540</v>
      </c>
      <c r="J152" s="23">
        <v>540</v>
      </c>
      <c r="K152" s="30">
        <v>305</v>
      </c>
      <c r="L152" s="31">
        <v>0.5</v>
      </c>
      <c r="M152" s="23">
        <v>0.5</v>
      </c>
      <c r="N152" s="23">
        <v>0.5</v>
      </c>
      <c r="O152" s="23">
        <v>0.5</v>
      </c>
      <c r="P152" s="23">
        <v>0.5</v>
      </c>
      <c r="Q152" s="23">
        <v>0.5</v>
      </c>
      <c r="R152" s="23">
        <v>6.4799999999999996E-2</v>
      </c>
      <c r="S152" s="23">
        <v>0.5</v>
      </c>
      <c r="T152" s="32">
        <v>0.46089999999999998</v>
      </c>
      <c r="U152" s="29">
        <v>53.5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0</v>
      </c>
      <c r="AG152" s="23">
        <v>0</v>
      </c>
      <c r="AH152" s="23">
        <v>0</v>
      </c>
      <c r="AI152" s="23">
        <v>22.8537</v>
      </c>
      <c r="AJ152" s="23">
        <v>0</v>
      </c>
      <c r="AK152" s="23">
        <v>1.8359000000000001</v>
      </c>
      <c r="AL152" s="23">
        <f t="shared" si="1"/>
        <v>78.189599999999999</v>
      </c>
    </row>
    <row r="153" spans="8:38" x14ac:dyDescent="0.3">
      <c r="H153" s="32">
        <v>34.5</v>
      </c>
      <c r="I153" s="29">
        <v>540</v>
      </c>
      <c r="J153" s="23">
        <v>540</v>
      </c>
      <c r="K153" s="30">
        <v>305</v>
      </c>
      <c r="L153" s="31">
        <v>0.5</v>
      </c>
      <c r="M153" s="23">
        <v>0.5</v>
      </c>
      <c r="N153" s="23">
        <v>0.5</v>
      </c>
      <c r="O153" s="23">
        <v>0.5</v>
      </c>
      <c r="P153" s="23">
        <v>0.5</v>
      </c>
      <c r="Q153" s="23">
        <v>0.5</v>
      </c>
      <c r="R153" s="23">
        <v>6.4799999999999996E-2</v>
      </c>
      <c r="S153" s="23">
        <v>0.5</v>
      </c>
      <c r="T153" s="32">
        <v>0.5</v>
      </c>
      <c r="U153" s="29">
        <v>53.5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3">
        <v>0</v>
      </c>
      <c r="AC153" s="23">
        <v>0</v>
      </c>
      <c r="AD153" s="23">
        <v>0</v>
      </c>
      <c r="AE153" s="23">
        <v>0</v>
      </c>
      <c r="AF153" s="23">
        <v>0</v>
      </c>
      <c r="AG153" s="23">
        <v>0</v>
      </c>
      <c r="AH153" s="23">
        <v>0</v>
      </c>
      <c r="AI153" s="23">
        <v>22.8537</v>
      </c>
      <c r="AJ153" s="23">
        <v>0</v>
      </c>
      <c r="AK153" s="23">
        <v>0</v>
      </c>
      <c r="AL153" s="23">
        <f t="shared" si="1"/>
        <v>76.353700000000003</v>
      </c>
    </row>
    <row r="154" spans="8:38" x14ac:dyDescent="0.3">
      <c r="H154" s="32">
        <v>35</v>
      </c>
      <c r="I154" s="29">
        <v>540</v>
      </c>
      <c r="J154" s="23">
        <v>540</v>
      </c>
      <c r="K154" s="30">
        <v>318</v>
      </c>
      <c r="L154" s="31">
        <v>0.5</v>
      </c>
      <c r="M154" s="23">
        <v>0.5</v>
      </c>
      <c r="N154" s="23">
        <v>0.5</v>
      </c>
      <c r="O154" s="23">
        <v>0.5</v>
      </c>
      <c r="P154" s="23">
        <v>0.5</v>
      </c>
      <c r="Q154" s="23">
        <v>0.5</v>
      </c>
      <c r="R154" s="23">
        <v>0.5</v>
      </c>
      <c r="S154" s="23">
        <v>0</v>
      </c>
      <c r="T154" s="32">
        <v>0</v>
      </c>
      <c r="U154" s="29">
        <v>53.5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23">
        <v>0</v>
      </c>
      <c r="AC154" s="23">
        <v>0</v>
      </c>
      <c r="AD154" s="23">
        <v>0</v>
      </c>
      <c r="AE154" s="23">
        <v>0</v>
      </c>
      <c r="AF154" s="23">
        <v>0</v>
      </c>
      <c r="AG154" s="23">
        <v>0</v>
      </c>
      <c r="AH154" s="23">
        <v>0</v>
      </c>
      <c r="AI154" s="23">
        <v>0</v>
      </c>
      <c r="AJ154" s="23">
        <v>0.99299999999999999</v>
      </c>
      <c r="AK154" s="23">
        <v>24.040500000000002</v>
      </c>
      <c r="AL154" s="23">
        <f t="shared" si="1"/>
        <v>78.533500000000004</v>
      </c>
    </row>
    <row r="155" spans="8:38" x14ac:dyDescent="0.3">
      <c r="H155" s="32">
        <v>35.5</v>
      </c>
      <c r="I155" s="29">
        <v>540</v>
      </c>
      <c r="J155" s="23">
        <v>540</v>
      </c>
      <c r="K155" s="30">
        <v>415</v>
      </c>
      <c r="L155" s="31">
        <v>0.5</v>
      </c>
      <c r="M155" s="23">
        <v>0.5</v>
      </c>
      <c r="N155" s="23">
        <v>0.5</v>
      </c>
      <c r="O155" s="23">
        <v>0.5</v>
      </c>
      <c r="P155" s="23">
        <v>0.5</v>
      </c>
      <c r="Q155" s="23">
        <v>0.5</v>
      </c>
      <c r="R155" s="23">
        <v>0.5</v>
      </c>
      <c r="S155" s="23">
        <v>0.29170000000000001</v>
      </c>
      <c r="T155" s="32">
        <v>0</v>
      </c>
      <c r="U155" s="29">
        <v>53.5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23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3">
        <v>0</v>
      </c>
      <c r="AJ155" s="23">
        <v>0.41370000000000001</v>
      </c>
      <c r="AK155" s="23">
        <v>23.7044</v>
      </c>
      <c r="AL155" s="23">
        <f t="shared" si="1"/>
        <v>77.618099999999998</v>
      </c>
    </row>
    <row r="156" spans="8:38" x14ac:dyDescent="0.3">
      <c r="H156" s="32">
        <v>36</v>
      </c>
      <c r="I156" s="29">
        <v>540</v>
      </c>
      <c r="J156" s="23">
        <v>540</v>
      </c>
      <c r="K156" s="30">
        <v>511</v>
      </c>
      <c r="L156" s="31">
        <v>0.5</v>
      </c>
      <c r="M156" s="23">
        <v>0.5</v>
      </c>
      <c r="N156" s="23">
        <v>0.5</v>
      </c>
      <c r="O156" s="23">
        <v>0.5</v>
      </c>
      <c r="P156" s="23">
        <v>0.5</v>
      </c>
      <c r="Q156" s="23">
        <v>0.5</v>
      </c>
      <c r="R156" s="23">
        <v>0.5</v>
      </c>
      <c r="S156" s="23">
        <v>0.5</v>
      </c>
      <c r="T156" s="32">
        <v>0</v>
      </c>
      <c r="U156" s="29">
        <v>53.5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23">
        <v>0</v>
      </c>
      <c r="AD156" s="23">
        <v>0</v>
      </c>
      <c r="AE156" s="23">
        <v>0</v>
      </c>
      <c r="AF156" s="23">
        <v>0</v>
      </c>
      <c r="AG156" s="23">
        <v>0</v>
      </c>
      <c r="AH156" s="23">
        <v>0</v>
      </c>
      <c r="AI156" s="23">
        <v>0</v>
      </c>
      <c r="AJ156" s="23">
        <v>0</v>
      </c>
      <c r="AK156" s="23">
        <v>23.700900000000001</v>
      </c>
      <c r="AL156" s="23">
        <f t="shared" si="1"/>
        <v>77.200900000000004</v>
      </c>
    </row>
    <row r="157" spans="8:38" x14ac:dyDescent="0.3">
      <c r="H157" s="32">
        <v>36.5</v>
      </c>
      <c r="I157" s="29">
        <v>540</v>
      </c>
      <c r="J157" s="23">
        <v>540</v>
      </c>
      <c r="K157" s="30">
        <v>540</v>
      </c>
      <c r="L157" s="31">
        <v>0.15</v>
      </c>
      <c r="M157" s="23">
        <v>0.15</v>
      </c>
      <c r="N157" s="23">
        <v>0.15</v>
      </c>
      <c r="O157" s="23">
        <v>0.15</v>
      </c>
      <c r="P157" s="23">
        <v>0.15</v>
      </c>
      <c r="Q157" s="23">
        <v>0.15</v>
      </c>
      <c r="R157" s="23">
        <v>0.15</v>
      </c>
      <c r="S157" s="23">
        <v>0.15</v>
      </c>
      <c r="T157" s="32">
        <v>1.8100000000000002E-2</v>
      </c>
      <c r="U157" s="29">
        <v>16.05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6.2504</v>
      </c>
      <c r="AL157" s="23">
        <f t="shared" si="1"/>
        <v>22.3004</v>
      </c>
    </row>
  </sheetData>
  <mergeCells count="37">
    <mergeCell ref="U82:AL82"/>
    <mergeCell ref="C7:E7"/>
    <mergeCell ref="C4:E4"/>
    <mergeCell ref="H82:H83"/>
    <mergeCell ref="I82:K82"/>
    <mergeCell ref="L82:T82"/>
    <mergeCell ref="U3:AL3"/>
    <mergeCell ref="C37:E37"/>
    <mergeCell ref="C9:E9"/>
    <mergeCell ref="B10:E10"/>
    <mergeCell ref="B13:B19"/>
    <mergeCell ref="C19:E19"/>
    <mergeCell ref="B20:B21"/>
    <mergeCell ref="C20:E21"/>
    <mergeCell ref="C17:E17"/>
    <mergeCell ref="C18:E18"/>
    <mergeCell ref="B33:E33"/>
    <mergeCell ref="C8:E8"/>
    <mergeCell ref="C11:E11"/>
    <mergeCell ref="B35:E35"/>
    <mergeCell ref="C36:E36"/>
    <mergeCell ref="C34:E34"/>
    <mergeCell ref="C40:E40"/>
    <mergeCell ref="C5:E5"/>
    <mergeCell ref="H3:H4"/>
    <mergeCell ref="I3:K3"/>
    <mergeCell ref="L3:T3"/>
    <mergeCell ref="C38:E38"/>
    <mergeCell ref="C39:E39"/>
    <mergeCell ref="C12:E12"/>
    <mergeCell ref="C13:E13"/>
    <mergeCell ref="C14:E14"/>
    <mergeCell ref="C15:E15"/>
    <mergeCell ref="C16:E16"/>
    <mergeCell ref="B2:E2"/>
    <mergeCell ref="C3:E3"/>
    <mergeCell ref="C6:E6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F469-1B8E-4D72-AE7D-96BAA1FBEE8C}">
  <sheetPr>
    <tabColor rgb="FF7030A0"/>
  </sheetPr>
  <dimension ref="B2:AZ119"/>
  <sheetViews>
    <sheetView zoomScale="85" zoomScaleNormal="85" workbookViewId="0">
      <selection activeCell="P19" sqref="P19"/>
    </sheetView>
  </sheetViews>
  <sheetFormatPr defaultRowHeight="16.5" x14ac:dyDescent="0.3"/>
  <cols>
    <col min="1" max="1" width="7.625" customWidth="1"/>
    <col min="2" max="2" width="25.875" style="14" bestFit="1" customWidth="1"/>
    <col min="3" max="3" width="16.625" style="14" customWidth="1"/>
    <col min="4" max="4" width="24.375" style="14" bestFit="1" customWidth="1"/>
    <col min="5" max="5" width="16.625" style="14" customWidth="1"/>
    <col min="6" max="6" width="8.75" customWidth="1"/>
    <col min="7" max="7" width="19.875" style="14" bestFit="1" customWidth="1"/>
    <col min="8" max="14" width="13.625" style="14" customWidth="1"/>
    <col min="15" max="15" width="17.5" style="14" bestFit="1" customWidth="1"/>
    <col min="16" max="16" width="17.5" style="14" customWidth="1"/>
    <col min="17" max="17" width="11.25" style="14" bestFit="1" customWidth="1"/>
    <col min="18" max="18" width="16.5" style="14" bestFit="1" customWidth="1"/>
    <col min="19" max="20" width="16.625" style="14" bestFit="1" customWidth="1"/>
    <col min="21" max="21" width="10.5" style="14" bestFit="1" customWidth="1"/>
    <col min="22" max="23" width="10.375" style="14" bestFit="1" customWidth="1"/>
    <col min="24" max="24" width="9" style="14" bestFit="1" customWidth="1"/>
    <col min="25" max="25" width="11.875" style="14" bestFit="1" customWidth="1"/>
    <col min="26" max="26" width="6.75" style="14" bestFit="1" customWidth="1"/>
    <col min="27" max="27" width="15" style="14" bestFit="1" customWidth="1"/>
    <col min="28" max="28" width="13.25" style="14" bestFit="1" customWidth="1"/>
    <col min="29" max="29" width="10.875" style="14" bestFit="1" customWidth="1"/>
    <col min="30" max="30" width="7" style="14" bestFit="1" customWidth="1"/>
    <col min="31" max="31" width="5.25" style="14" bestFit="1" customWidth="1"/>
    <col min="32" max="32" width="6.125" style="14" bestFit="1" customWidth="1"/>
    <col min="33" max="33" width="10.625" style="14" bestFit="1" customWidth="1"/>
    <col min="34" max="34" width="11.25" style="14" bestFit="1" customWidth="1"/>
    <col min="35" max="35" width="7.75" style="14" bestFit="1" customWidth="1"/>
    <col min="36" max="36" width="13.875" style="14" bestFit="1" customWidth="1"/>
    <col min="37" max="37" width="4.5" bestFit="1" customWidth="1"/>
    <col min="38" max="38" width="9.375" bestFit="1" customWidth="1"/>
    <col min="39" max="39" width="7.875" bestFit="1" customWidth="1"/>
    <col min="40" max="40" width="9.75" bestFit="1" customWidth="1"/>
    <col min="41" max="41" width="5.25" bestFit="1" customWidth="1"/>
    <col min="42" max="42" width="9" bestFit="1" customWidth="1"/>
    <col min="43" max="43" width="11.875" bestFit="1" customWidth="1"/>
    <col min="44" max="44" width="6.75" bestFit="1" customWidth="1"/>
    <col min="45" max="45" width="15" bestFit="1" customWidth="1"/>
    <col min="46" max="46" width="13.25" bestFit="1" customWidth="1"/>
    <col min="47" max="47" width="10.875" bestFit="1" customWidth="1"/>
    <col min="48" max="48" width="7" bestFit="1" customWidth="1"/>
    <col min="49" max="49" width="5.25" bestFit="1" customWidth="1"/>
    <col min="50" max="50" width="6.125" bestFit="1" customWidth="1"/>
    <col min="51" max="51" width="10.625" bestFit="1" customWidth="1"/>
    <col min="52" max="52" width="5.5" bestFit="1" customWidth="1"/>
  </cols>
  <sheetData>
    <row r="2" spans="2:52" x14ac:dyDescent="0.3">
      <c r="B2" s="47" t="s">
        <v>0</v>
      </c>
      <c r="C2" s="48"/>
      <c r="D2" s="48"/>
      <c r="E2" s="48"/>
      <c r="G2" s="89" t="s">
        <v>104</v>
      </c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/>
      <c r="T2" s="78" t="s">
        <v>62</v>
      </c>
      <c r="U2" s="78" t="s">
        <v>63</v>
      </c>
      <c r="V2" s="78"/>
      <c r="W2" s="78"/>
      <c r="X2" s="80" t="s">
        <v>64</v>
      </c>
      <c r="Y2" s="80"/>
      <c r="Z2" s="80"/>
      <c r="AA2" s="80"/>
      <c r="AB2" s="80"/>
      <c r="AC2" s="80"/>
      <c r="AD2" s="80"/>
      <c r="AE2" s="80"/>
      <c r="AF2" s="80"/>
      <c r="AG2" s="80"/>
      <c r="AH2" s="78" t="s">
        <v>65</v>
      </c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</row>
    <row r="3" spans="2:52" x14ac:dyDescent="0.3">
      <c r="B3" s="22" t="s">
        <v>91</v>
      </c>
      <c r="C3" s="72" t="s">
        <v>43</v>
      </c>
      <c r="D3" s="73"/>
      <c r="E3" s="74"/>
      <c r="T3" s="79"/>
      <c r="U3" s="26" t="s">
        <v>66</v>
      </c>
      <c r="V3" s="26" t="s">
        <v>67</v>
      </c>
      <c r="W3" s="26" t="s">
        <v>68</v>
      </c>
      <c r="X3" s="27" t="s">
        <v>36</v>
      </c>
      <c r="Y3" s="27" t="s">
        <v>37</v>
      </c>
      <c r="Z3" s="27" t="s">
        <v>38</v>
      </c>
      <c r="AA3" s="27" t="s">
        <v>69</v>
      </c>
      <c r="AB3" s="27" t="s">
        <v>70</v>
      </c>
      <c r="AC3" s="27" t="s">
        <v>40</v>
      </c>
      <c r="AD3" s="27" t="s">
        <v>71</v>
      </c>
      <c r="AE3" s="27" t="s">
        <v>72</v>
      </c>
      <c r="AF3" s="27" t="s">
        <v>73</v>
      </c>
      <c r="AG3" s="27" t="s">
        <v>74</v>
      </c>
      <c r="AH3" s="26" t="s">
        <v>75</v>
      </c>
      <c r="AI3" s="26" t="s">
        <v>76</v>
      </c>
      <c r="AJ3" s="26" t="s">
        <v>77</v>
      </c>
      <c r="AK3" s="26" t="s">
        <v>78</v>
      </c>
      <c r="AL3" s="26" t="s">
        <v>79</v>
      </c>
      <c r="AM3" s="26" t="s">
        <v>80</v>
      </c>
      <c r="AN3" s="26" t="s">
        <v>81</v>
      </c>
      <c r="AO3" s="26" t="s">
        <v>82</v>
      </c>
      <c r="AP3" s="26" t="s">
        <v>36</v>
      </c>
      <c r="AQ3" s="26" t="s">
        <v>37</v>
      </c>
      <c r="AR3" s="26" t="s">
        <v>38</v>
      </c>
      <c r="AS3" s="26" t="s">
        <v>69</v>
      </c>
      <c r="AT3" s="26" t="s">
        <v>70</v>
      </c>
      <c r="AU3" s="26" t="s">
        <v>40</v>
      </c>
      <c r="AV3" s="26" t="s">
        <v>71</v>
      </c>
      <c r="AW3" s="26" t="s">
        <v>72</v>
      </c>
      <c r="AX3" s="26" t="s">
        <v>73</v>
      </c>
      <c r="AY3" s="26" t="s">
        <v>74</v>
      </c>
      <c r="AZ3" s="26" t="s">
        <v>83</v>
      </c>
    </row>
    <row r="4" spans="2:52" x14ac:dyDescent="0.3">
      <c r="B4" s="8" t="s">
        <v>47</v>
      </c>
      <c r="C4" s="52" t="s">
        <v>51</v>
      </c>
      <c r="D4" s="53"/>
      <c r="E4" s="54"/>
      <c r="G4" s="15" t="s">
        <v>98</v>
      </c>
      <c r="H4" s="15" t="s">
        <v>97</v>
      </c>
      <c r="I4" s="15" t="s">
        <v>36</v>
      </c>
      <c r="J4" s="15" t="s">
        <v>37</v>
      </c>
      <c r="K4" s="15" t="s">
        <v>38</v>
      </c>
      <c r="L4" s="15" t="s">
        <v>39</v>
      </c>
      <c r="M4" s="15" t="s">
        <v>40</v>
      </c>
      <c r="N4" s="15" t="s">
        <v>41</v>
      </c>
      <c r="O4" s="1" t="s">
        <v>42</v>
      </c>
      <c r="P4" s="15" t="s">
        <v>103</v>
      </c>
      <c r="Q4" s="15" t="s">
        <v>92</v>
      </c>
      <c r="R4" s="97" t="s">
        <v>100</v>
      </c>
      <c r="T4" s="33">
        <v>0</v>
      </c>
      <c r="U4" s="29">
        <v>0</v>
      </c>
      <c r="V4" s="23">
        <v>0</v>
      </c>
      <c r="W4" s="30">
        <v>0</v>
      </c>
      <c r="X4" s="31">
        <v>0</v>
      </c>
      <c r="Y4" s="23">
        <v>0</v>
      </c>
      <c r="Z4" s="23">
        <v>1.67E-2</v>
      </c>
      <c r="AA4" s="23">
        <v>0</v>
      </c>
      <c r="AB4" s="23">
        <v>0</v>
      </c>
      <c r="AC4" s="23">
        <v>0.5</v>
      </c>
      <c r="AD4" s="23">
        <v>0.5</v>
      </c>
      <c r="AE4" s="23">
        <v>0.5</v>
      </c>
      <c r="AF4" s="23">
        <v>0.5</v>
      </c>
      <c r="AG4" s="32">
        <v>0.5</v>
      </c>
      <c r="AH4" s="29">
        <v>53.5</v>
      </c>
      <c r="AI4" s="23">
        <v>1.47E-2</v>
      </c>
      <c r="AJ4" s="23">
        <v>0.56610000000000005</v>
      </c>
      <c r="AK4" s="23">
        <v>0.73329999999999995</v>
      </c>
      <c r="AL4" s="23">
        <v>5.6261000000000001</v>
      </c>
      <c r="AM4" s="23">
        <v>54.948900000000002</v>
      </c>
      <c r="AN4" s="23">
        <v>3.6700000000000003E-2</v>
      </c>
      <c r="AO4" s="23">
        <v>0.1933</v>
      </c>
      <c r="AP4" s="23">
        <v>0.2482</v>
      </c>
      <c r="AQ4" s="23">
        <v>0</v>
      </c>
      <c r="AR4" s="23">
        <v>0</v>
      </c>
      <c r="AS4" s="23">
        <v>1.5859000000000001</v>
      </c>
      <c r="AT4" s="23">
        <v>1.3129999999999999</v>
      </c>
      <c r="AU4" s="23">
        <v>0</v>
      </c>
      <c r="AV4" s="23">
        <v>0</v>
      </c>
      <c r="AW4" s="23">
        <v>0</v>
      </c>
      <c r="AX4" s="23">
        <v>0</v>
      </c>
      <c r="AY4" s="23">
        <v>0</v>
      </c>
      <c r="AZ4" s="23">
        <f t="shared" ref="AZ4:AZ35" si="0">SUM(AH4:AY4)</f>
        <v>118.76619999999998</v>
      </c>
    </row>
    <row r="5" spans="2:52" x14ac:dyDescent="0.3">
      <c r="B5" s="2" t="s">
        <v>4</v>
      </c>
      <c r="C5" s="75">
        <v>5</v>
      </c>
      <c r="D5" s="76"/>
      <c r="E5" s="77"/>
      <c r="G5" s="92">
        <v>540540540</v>
      </c>
      <c r="H5" s="49">
        <v>5</v>
      </c>
      <c r="I5" s="7">
        <v>4</v>
      </c>
      <c r="J5" s="7">
        <v>1</v>
      </c>
      <c r="K5" s="7">
        <v>1</v>
      </c>
      <c r="L5" s="7">
        <v>1</v>
      </c>
      <c r="M5" s="7">
        <v>2</v>
      </c>
      <c r="N5" s="7">
        <v>2</v>
      </c>
      <c r="O5" s="16">
        <v>30.18</v>
      </c>
      <c r="P5" s="16">
        <v>7225.49</v>
      </c>
      <c r="Q5" s="39">
        <f>1-O5/($C$5*8)</f>
        <v>0.24550000000000005</v>
      </c>
      <c r="R5" s="39" t="s">
        <v>101</v>
      </c>
      <c r="T5" s="34">
        <v>0.5</v>
      </c>
      <c r="U5" s="29">
        <v>0</v>
      </c>
      <c r="V5" s="23">
        <v>0</v>
      </c>
      <c r="W5" s="30">
        <v>0</v>
      </c>
      <c r="X5" s="31">
        <v>0</v>
      </c>
      <c r="Y5" s="23">
        <v>0</v>
      </c>
      <c r="Z5" s="23">
        <v>0</v>
      </c>
      <c r="AA5" s="23">
        <v>0</v>
      </c>
      <c r="AB5" s="23">
        <v>0.19750000000000001</v>
      </c>
      <c r="AC5" s="23">
        <v>0.5</v>
      </c>
      <c r="AD5" s="23">
        <v>0.5</v>
      </c>
      <c r="AE5" s="23">
        <v>0.5</v>
      </c>
      <c r="AF5" s="23">
        <v>0.5</v>
      </c>
      <c r="AG5" s="32">
        <v>0.5</v>
      </c>
      <c r="AH5" s="29">
        <v>53.5</v>
      </c>
      <c r="AI5" s="23">
        <v>1.8499999999999999E-2</v>
      </c>
      <c r="AJ5" s="23">
        <v>0.70960000000000001</v>
      </c>
      <c r="AK5" s="23">
        <v>0.9254</v>
      </c>
      <c r="AL5" s="23">
        <v>6.7752999999999997</v>
      </c>
      <c r="AM5" s="23">
        <v>58.956600000000002</v>
      </c>
      <c r="AN5" s="23">
        <v>4.6300000000000001E-2</v>
      </c>
      <c r="AO5" s="23">
        <v>0.24399999999999999</v>
      </c>
      <c r="AP5" s="23">
        <v>0.2482</v>
      </c>
      <c r="AQ5" s="23">
        <v>0</v>
      </c>
      <c r="AR5" s="23">
        <v>0</v>
      </c>
      <c r="AS5" s="23">
        <v>2.3546999999999998</v>
      </c>
      <c r="AT5" s="23">
        <v>0.89500000000000002</v>
      </c>
      <c r="AU5" s="23">
        <v>0</v>
      </c>
      <c r="AV5" s="23">
        <v>0</v>
      </c>
      <c r="AW5" s="23">
        <v>0</v>
      </c>
      <c r="AX5" s="23">
        <v>0</v>
      </c>
      <c r="AY5" s="23">
        <v>0</v>
      </c>
      <c r="AZ5" s="23">
        <f t="shared" si="0"/>
        <v>124.67359999999999</v>
      </c>
    </row>
    <row r="6" spans="2:52" x14ac:dyDescent="0.3">
      <c r="B6" s="2" t="s">
        <v>44</v>
      </c>
      <c r="C6" s="65" t="s">
        <v>45</v>
      </c>
      <c r="D6" s="66"/>
      <c r="E6" s="67"/>
      <c r="G6" s="92"/>
      <c r="H6" s="49"/>
      <c r="I6" s="11">
        <v>4</v>
      </c>
      <c r="J6" s="11">
        <v>1</v>
      </c>
      <c r="K6" s="11">
        <v>1</v>
      </c>
      <c r="L6" s="11">
        <v>1</v>
      </c>
      <c r="M6" s="11">
        <v>3</v>
      </c>
      <c r="N6" s="11">
        <v>1</v>
      </c>
      <c r="O6" s="19">
        <v>30.24</v>
      </c>
      <c r="P6" s="19"/>
      <c r="Q6" s="17">
        <f t="shared" ref="Q6:Q13" si="1">1-O6/($C$5*8)</f>
        <v>0.24399999999999999</v>
      </c>
      <c r="R6" s="17"/>
      <c r="T6" s="34">
        <v>1</v>
      </c>
      <c r="U6" s="29">
        <v>0</v>
      </c>
      <c r="V6" s="23">
        <v>0</v>
      </c>
      <c r="W6" s="30">
        <v>0</v>
      </c>
      <c r="X6" s="31">
        <v>0</v>
      </c>
      <c r="Y6" s="23">
        <v>0</v>
      </c>
      <c r="Z6" s="23">
        <v>0</v>
      </c>
      <c r="AA6" s="23">
        <v>0</v>
      </c>
      <c r="AB6" s="23">
        <v>7.5200000000000003E-2</v>
      </c>
      <c r="AC6" s="23">
        <v>0.5</v>
      </c>
      <c r="AD6" s="23">
        <v>0.5</v>
      </c>
      <c r="AE6" s="23">
        <v>0.5</v>
      </c>
      <c r="AF6" s="23">
        <v>0.5</v>
      </c>
      <c r="AG6" s="32">
        <v>0.5</v>
      </c>
      <c r="AH6" s="29">
        <v>53.5</v>
      </c>
      <c r="AI6" s="23">
        <v>1.8200000000000001E-2</v>
      </c>
      <c r="AJ6" s="23">
        <v>0.69650000000000001</v>
      </c>
      <c r="AK6" s="23">
        <v>0.90790000000000004</v>
      </c>
      <c r="AL6" s="23">
        <v>6.6707999999999998</v>
      </c>
      <c r="AM6" s="23">
        <v>58.592300000000002</v>
      </c>
      <c r="AN6" s="23">
        <v>4.5400000000000003E-2</v>
      </c>
      <c r="AO6" s="23">
        <v>0.2394</v>
      </c>
      <c r="AP6" s="23">
        <v>0.2482</v>
      </c>
      <c r="AQ6" s="23">
        <v>0</v>
      </c>
      <c r="AR6" s="23">
        <v>0</v>
      </c>
      <c r="AS6" s="23">
        <v>2.0274000000000001</v>
      </c>
      <c r="AT6" s="23">
        <v>2.3824999999999998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f t="shared" si="0"/>
        <v>125.32859999999999</v>
      </c>
    </row>
    <row r="7" spans="2:52" x14ac:dyDescent="0.3">
      <c r="B7" s="2" t="s">
        <v>5</v>
      </c>
      <c r="C7" s="68" t="s">
        <v>48</v>
      </c>
      <c r="D7" s="68"/>
      <c r="E7" s="68"/>
      <c r="G7" s="92"/>
      <c r="H7" s="49"/>
      <c r="I7" s="11">
        <v>5</v>
      </c>
      <c r="J7" s="11">
        <v>1</v>
      </c>
      <c r="K7" s="11">
        <v>1</v>
      </c>
      <c r="L7" s="11">
        <v>1</v>
      </c>
      <c r="M7" s="11">
        <v>2</v>
      </c>
      <c r="N7" s="11">
        <v>1</v>
      </c>
      <c r="O7" s="19">
        <v>30.66</v>
      </c>
      <c r="P7" s="19"/>
      <c r="Q7" s="17">
        <f t="shared" si="1"/>
        <v>0.23350000000000004</v>
      </c>
      <c r="R7" s="17"/>
      <c r="S7"/>
      <c r="T7" s="34">
        <v>1.5</v>
      </c>
      <c r="U7" s="29">
        <v>0</v>
      </c>
      <c r="V7" s="23">
        <v>0</v>
      </c>
      <c r="W7" s="30">
        <v>0</v>
      </c>
      <c r="X7" s="31">
        <v>0</v>
      </c>
      <c r="Y7" s="23">
        <v>0</v>
      </c>
      <c r="Z7" s="23">
        <v>0</v>
      </c>
      <c r="AA7" s="23">
        <v>0</v>
      </c>
      <c r="AB7" s="23">
        <v>0</v>
      </c>
      <c r="AC7" s="23">
        <v>0.5</v>
      </c>
      <c r="AD7" s="23">
        <v>0.5</v>
      </c>
      <c r="AE7" s="23">
        <v>0.5</v>
      </c>
      <c r="AF7" s="23">
        <v>0.5</v>
      </c>
      <c r="AG7" s="32">
        <v>0.5</v>
      </c>
      <c r="AH7" s="29">
        <v>53.5</v>
      </c>
      <c r="AI7" s="23">
        <v>1.4999999999999999E-2</v>
      </c>
      <c r="AJ7" s="23">
        <v>0.57909999999999995</v>
      </c>
      <c r="AK7" s="23">
        <v>0.75080000000000002</v>
      </c>
      <c r="AL7" s="23">
        <v>5.7305000000000001</v>
      </c>
      <c r="AM7" s="23">
        <v>55.313200000000002</v>
      </c>
      <c r="AN7" s="23">
        <v>3.7499999999999999E-2</v>
      </c>
      <c r="AO7" s="23">
        <v>0.19789999999999999</v>
      </c>
      <c r="AP7" s="23">
        <v>0.2482</v>
      </c>
      <c r="AQ7" s="23">
        <v>0</v>
      </c>
      <c r="AR7" s="23">
        <v>0</v>
      </c>
      <c r="AS7" s="23">
        <v>1.8273999999999999</v>
      </c>
      <c r="AT7" s="23">
        <v>2.5960000000000001</v>
      </c>
      <c r="AU7" s="23">
        <v>0</v>
      </c>
      <c r="AV7" s="23">
        <v>0</v>
      </c>
      <c r="AW7" s="23">
        <v>0</v>
      </c>
      <c r="AX7" s="23">
        <v>0</v>
      </c>
      <c r="AY7" s="23">
        <v>0</v>
      </c>
      <c r="AZ7" s="23">
        <f t="shared" si="0"/>
        <v>120.79559999999999</v>
      </c>
    </row>
    <row r="8" spans="2:52" x14ac:dyDescent="0.3">
      <c r="B8" s="2" t="s">
        <v>52</v>
      </c>
      <c r="C8" s="69" t="s">
        <v>60</v>
      </c>
      <c r="D8" s="70"/>
      <c r="E8" s="71"/>
      <c r="G8" s="92"/>
      <c r="H8" s="49"/>
      <c r="I8" s="11">
        <v>4</v>
      </c>
      <c r="J8" s="11">
        <v>1</v>
      </c>
      <c r="K8" s="11">
        <v>1</v>
      </c>
      <c r="L8" s="11">
        <v>2</v>
      </c>
      <c r="M8" s="11">
        <v>2</v>
      </c>
      <c r="N8" s="11">
        <v>1</v>
      </c>
      <c r="O8" s="19">
        <v>30.68</v>
      </c>
      <c r="P8" s="19"/>
      <c r="Q8" s="17">
        <f t="shared" si="1"/>
        <v>0.23299999999999998</v>
      </c>
      <c r="R8" s="17"/>
      <c r="S8"/>
      <c r="T8" s="34">
        <v>2</v>
      </c>
      <c r="U8" s="29">
        <v>0</v>
      </c>
      <c r="V8" s="23">
        <v>0</v>
      </c>
      <c r="W8" s="30">
        <v>0</v>
      </c>
      <c r="X8" s="31">
        <v>0</v>
      </c>
      <c r="Y8" s="23">
        <v>0</v>
      </c>
      <c r="Z8" s="23">
        <v>0</v>
      </c>
      <c r="AA8" s="23">
        <v>0</v>
      </c>
      <c r="AB8" s="23">
        <v>0</v>
      </c>
      <c r="AC8" s="23">
        <v>0.5</v>
      </c>
      <c r="AD8" s="23">
        <v>0.5</v>
      </c>
      <c r="AE8" s="23">
        <v>0.5</v>
      </c>
      <c r="AF8" s="23">
        <v>0.5</v>
      </c>
      <c r="AG8" s="32">
        <v>0.5</v>
      </c>
      <c r="AH8" s="29">
        <v>53.5</v>
      </c>
      <c r="AI8" s="23">
        <v>2.1700000000000001E-2</v>
      </c>
      <c r="AJ8" s="23">
        <v>0.82699999999999996</v>
      </c>
      <c r="AK8" s="23">
        <v>1.0825</v>
      </c>
      <c r="AL8" s="23">
        <v>7.7154999999999996</v>
      </c>
      <c r="AM8" s="23">
        <v>62.235700000000001</v>
      </c>
      <c r="AN8" s="23">
        <v>5.4100000000000002E-2</v>
      </c>
      <c r="AO8" s="23">
        <v>0.28539999999999999</v>
      </c>
      <c r="AP8" s="23">
        <v>0.2482</v>
      </c>
      <c r="AQ8" s="23">
        <v>0</v>
      </c>
      <c r="AR8" s="23">
        <v>0</v>
      </c>
      <c r="AS8" s="23">
        <v>1.6739999999999999</v>
      </c>
      <c r="AT8" s="23">
        <v>2.4832999999999998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f t="shared" si="0"/>
        <v>130.12740000000002</v>
      </c>
    </row>
    <row r="9" spans="2:52" ht="16.5" customHeight="1" x14ac:dyDescent="0.3">
      <c r="B9" s="50" t="s">
        <v>6</v>
      </c>
      <c r="C9" s="82" t="s">
        <v>85</v>
      </c>
      <c r="D9" s="83"/>
      <c r="E9" s="84"/>
      <c r="G9" s="92"/>
      <c r="H9" s="49"/>
      <c r="I9" s="11">
        <v>6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9">
        <v>30.87</v>
      </c>
      <c r="P9" s="19"/>
      <c r="Q9" s="17">
        <f t="shared" si="1"/>
        <v>0.22824999999999995</v>
      </c>
      <c r="R9" s="17"/>
      <c r="S9"/>
      <c r="T9" s="34">
        <v>2.5</v>
      </c>
      <c r="U9" s="29">
        <v>0</v>
      </c>
      <c r="V9" s="23">
        <v>0</v>
      </c>
      <c r="W9" s="30">
        <v>0</v>
      </c>
      <c r="X9" s="31">
        <v>0</v>
      </c>
      <c r="Y9" s="23">
        <v>0</v>
      </c>
      <c r="Z9" s="23">
        <v>0</v>
      </c>
      <c r="AA9" s="23">
        <v>0</v>
      </c>
      <c r="AB9" s="23">
        <v>0.18329999999999999</v>
      </c>
      <c r="AC9" s="23">
        <v>0.5</v>
      </c>
      <c r="AD9" s="23">
        <v>0.5</v>
      </c>
      <c r="AE9" s="23">
        <v>0.5</v>
      </c>
      <c r="AF9" s="23">
        <v>0.5</v>
      </c>
      <c r="AG9" s="32">
        <v>0.5</v>
      </c>
      <c r="AH9" s="29">
        <v>53.5</v>
      </c>
      <c r="AI9" s="23">
        <v>1.47E-2</v>
      </c>
      <c r="AJ9" s="23">
        <v>0.56610000000000005</v>
      </c>
      <c r="AK9" s="23">
        <v>0.73329999999999995</v>
      </c>
      <c r="AL9" s="23">
        <v>5.6261000000000001</v>
      </c>
      <c r="AM9" s="23">
        <v>54.948900000000002</v>
      </c>
      <c r="AN9" s="23">
        <v>3.6700000000000003E-2</v>
      </c>
      <c r="AO9" s="23">
        <v>0.1933</v>
      </c>
      <c r="AP9" s="23">
        <v>0.2482</v>
      </c>
      <c r="AQ9" s="23">
        <v>0</v>
      </c>
      <c r="AR9" s="23">
        <v>0</v>
      </c>
      <c r="AS9" s="23">
        <v>1.6909000000000001</v>
      </c>
      <c r="AT9" s="23">
        <v>1.3574999999999999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f t="shared" si="0"/>
        <v>118.91569999999999</v>
      </c>
    </row>
    <row r="10" spans="2:52" x14ac:dyDescent="0.3">
      <c r="B10" s="88"/>
      <c r="C10" s="85"/>
      <c r="D10" s="86"/>
      <c r="E10" s="87"/>
      <c r="G10" s="92"/>
      <c r="H10" s="49"/>
      <c r="I10" s="11">
        <v>3</v>
      </c>
      <c r="J10" s="11">
        <v>1</v>
      </c>
      <c r="K10" s="11">
        <v>1</v>
      </c>
      <c r="L10" s="11">
        <v>1</v>
      </c>
      <c r="M10" s="11">
        <v>4</v>
      </c>
      <c r="N10" s="11">
        <v>1</v>
      </c>
      <c r="O10" s="19">
        <v>31.73</v>
      </c>
      <c r="P10" s="19"/>
      <c r="Q10" s="17">
        <f t="shared" si="1"/>
        <v>0.20674999999999999</v>
      </c>
      <c r="R10" s="17"/>
      <c r="S10"/>
      <c r="T10" s="34">
        <v>3</v>
      </c>
      <c r="U10" s="29">
        <v>0</v>
      </c>
      <c r="V10" s="23">
        <v>0</v>
      </c>
      <c r="W10" s="30">
        <v>0</v>
      </c>
      <c r="X10" s="31">
        <v>0</v>
      </c>
      <c r="Y10" s="23">
        <v>0</v>
      </c>
      <c r="Z10" s="23">
        <v>0</v>
      </c>
      <c r="AA10" s="23">
        <v>0</v>
      </c>
      <c r="AB10" s="23">
        <v>3.5499999999999997E-2</v>
      </c>
      <c r="AC10" s="23">
        <v>0.49919999999999998</v>
      </c>
      <c r="AD10" s="23">
        <v>0.5</v>
      </c>
      <c r="AE10" s="23">
        <v>0.5</v>
      </c>
      <c r="AF10" s="23">
        <v>0.5</v>
      </c>
      <c r="AG10" s="32">
        <v>0.5</v>
      </c>
      <c r="AH10" s="29">
        <v>53.5</v>
      </c>
      <c r="AI10" s="23">
        <v>2.1999999999999999E-2</v>
      </c>
      <c r="AJ10" s="23">
        <v>0.84</v>
      </c>
      <c r="AK10" s="23">
        <v>1.1000000000000001</v>
      </c>
      <c r="AL10" s="23">
        <v>7.82</v>
      </c>
      <c r="AM10" s="23">
        <v>62.6</v>
      </c>
      <c r="AN10" s="23">
        <v>5.5E-2</v>
      </c>
      <c r="AO10" s="23">
        <v>0.28999999999999998</v>
      </c>
      <c r="AP10" s="23">
        <v>0.24990000000000001</v>
      </c>
      <c r="AQ10" s="23">
        <v>0</v>
      </c>
      <c r="AR10" s="23">
        <v>0</v>
      </c>
      <c r="AS10" s="23">
        <v>2.9016000000000002</v>
      </c>
      <c r="AT10" s="23">
        <v>3.0943999999999998</v>
      </c>
      <c r="AU10" s="23">
        <v>6.59E-2</v>
      </c>
      <c r="AV10" s="23">
        <v>0</v>
      </c>
      <c r="AW10" s="23">
        <v>0</v>
      </c>
      <c r="AX10" s="23">
        <v>0</v>
      </c>
      <c r="AY10" s="23">
        <v>0</v>
      </c>
      <c r="AZ10" s="23">
        <f t="shared" si="0"/>
        <v>132.53880000000001</v>
      </c>
    </row>
    <row r="11" spans="2:52" x14ac:dyDescent="0.3">
      <c r="B11" s="47" t="s">
        <v>8</v>
      </c>
      <c r="C11" s="48"/>
      <c r="D11" s="48"/>
      <c r="E11" s="48"/>
      <c r="G11" s="92"/>
      <c r="H11" s="49"/>
      <c r="I11" s="11">
        <v>2</v>
      </c>
      <c r="J11" s="11">
        <v>1</v>
      </c>
      <c r="K11" s="11">
        <v>1</v>
      </c>
      <c r="L11" s="11">
        <v>2</v>
      </c>
      <c r="M11" s="11">
        <v>4</v>
      </c>
      <c r="N11" s="11">
        <v>1</v>
      </c>
      <c r="O11" s="19">
        <v>31.77</v>
      </c>
      <c r="P11" s="19"/>
      <c r="Q11" s="17">
        <f t="shared" si="1"/>
        <v>0.20574999999999999</v>
      </c>
      <c r="R11" s="17"/>
      <c r="S11"/>
      <c r="T11" s="34">
        <v>3.5</v>
      </c>
      <c r="U11" s="29">
        <v>0</v>
      </c>
      <c r="V11" s="23">
        <v>0</v>
      </c>
      <c r="W11" s="30">
        <v>0</v>
      </c>
      <c r="X11" s="31">
        <v>0</v>
      </c>
      <c r="Y11" s="23">
        <v>0</v>
      </c>
      <c r="Z11" s="23">
        <v>0</v>
      </c>
      <c r="AA11" s="23">
        <v>0</v>
      </c>
      <c r="AB11" s="23">
        <v>0.30940000000000001</v>
      </c>
      <c r="AC11" s="23">
        <v>0.16750000000000001</v>
      </c>
      <c r="AD11" s="23">
        <v>0.5</v>
      </c>
      <c r="AE11" s="23">
        <v>0.5</v>
      </c>
      <c r="AF11" s="23">
        <v>0.5</v>
      </c>
      <c r="AG11" s="32">
        <v>0.5</v>
      </c>
      <c r="AH11" s="29">
        <v>53.5</v>
      </c>
      <c r="AI11" s="23">
        <v>1.47E-2</v>
      </c>
      <c r="AJ11" s="23">
        <v>0.56610000000000005</v>
      </c>
      <c r="AK11" s="23">
        <v>0.73329999999999995</v>
      </c>
      <c r="AL11" s="23">
        <v>5.6261000000000001</v>
      </c>
      <c r="AM11" s="23">
        <v>54.948900000000002</v>
      </c>
      <c r="AN11" s="23">
        <v>3.6700000000000003E-2</v>
      </c>
      <c r="AO11" s="23">
        <v>0.1933</v>
      </c>
      <c r="AP11" s="23">
        <v>0.2482</v>
      </c>
      <c r="AQ11" s="23">
        <v>0</v>
      </c>
      <c r="AR11" s="23">
        <v>0</v>
      </c>
      <c r="AS11" s="23">
        <v>2.1516999999999999</v>
      </c>
      <c r="AT11" s="23">
        <v>1.4428000000000001</v>
      </c>
      <c r="AU11" s="23">
        <v>26.302099999999999</v>
      </c>
      <c r="AV11" s="23">
        <v>0</v>
      </c>
      <c r="AW11" s="23">
        <v>0</v>
      </c>
      <c r="AX11" s="23">
        <v>0</v>
      </c>
      <c r="AY11" s="23">
        <v>0</v>
      </c>
      <c r="AZ11" s="23">
        <f t="shared" si="0"/>
        <v>145.76390000000001</v>
      </c>
    </row>
    <row r="12" spans="2:52" x14ac:dyDescent="0.3">
      <c r="B12" s="22" t="s">
        <v>9</v>
      </c>
      <c r="C12" s="65" t="s">
        <v>10</v>
      </c>
      <c r="D12" s="66"/>
      <c r="E12" s="67"/>
      <c r="G12" s="92"/>
      <c r="H12" s="49"/>
      <c r="I12" s="11">
        <v>2</v>
      </c>
      <c r="J12" s="11">
        <v>2</v>
      </c>
      <c r="K12" s="11">
        <v>2</v>
      </c>
      <c r="L12" s="11">
        <v>2</v>
      </c>
      <c r="M12" s="11">
        <v>2</v>
      </c>
      <c r="N12" s="11">
        <v>1</v>
      </c>
      <c r="O12" s="19">
        <v>31.81</v>
      </c>
      <c r="P12" s="19"/>
      <c r="Q12" s="17">
        <f t="shared" si="1"/>
        <v>0.20474999999999999</v>
      </c>
      <c r="R12" s="17" t="s">
        <v>102</v>
      </c>
      <c r="S12"/>
      <c r="T12" s="34">
        <v>4</v>
      </c>
      <c r="U12" s="29">
        <v>0</v>
      </c>
      <c r="V12" s="23">
        <v>0</v>
      </c>
      <c r="W12" s="30">
        <v>0</v>
      </c>
      <c r="X12" s="31">
        <v>0</v>
      </c>
      <c r="Y12" s="23">
        <v>0</v>
      </c>
      <c r="Z12" s="23">
        <v>0</v>
      </c>
      <c r="AA12" s="23">
        <v>0</v>
      </c>
      <c r="AB12" s="23">
        <v>0.34300000000000003</v>
      </c>
      <c r="AC12" s="23">
        <v>0.5</v>
      </c>
      <c r="AD12" s="23">
        <v>0.48599999999999999</v>
      </c>
      <c r="AE12" s="23">
        <v>0.5</v>
      </c>
      <c r="AF12" s="23">
        <v>0.5</v>
      </c>
      <c r="AG12" s="32">
        <v>0.5</v>
      </c>
      <c r="AH12" s="29">
        <v>53.5</v>
      </c>
      <c r="AI12" s="23">
        <v>2.1999999999999999E-2</v>
      </c>
      <c r="AJ12" s="23">
        <v>0.84</v>
      </c>
      <c r="AK12" s="23">
        <v>1.1000000000000001</v>
      </c>
      <c r="AL12" s="23">
        <v>7.82</v>
      </c>
      <c r="AM12" s="23">
        <v>62.6</v>
      </c>
      <c r="AN12" s="23">
        <v>5.5E-2</v>
      </c>
      <c r="AO12" s="23">
        <v>0.28999999999999998</v>
      </c>
      <c r="AP12" s="23">
        <v>0.20069999999999999</v>
      </c>
      <c r="AQ12" s="23">
        <v>0</v>
      </c>
      <c r="AR12" s="23">
        <v>0</v>
      </c>
      <c r="AS12" s="23">
        <v>2.6006999999999998</v>
      </c>
      <c r="AT12" s="23">
        <v>1.0071000000000001</v>
      </c>
      <c r="AU12" s="23">
        <v>0</v>
      </c>
      <c r="AV12" s="23">
        <v>0.73399999999999999</v>
      </c>
      <c r="AW12" s="23">
        <v>0</v>
      </c>
      <c r="AX12" s="23">
        <v>0</v>
      </c>
      <c r="AY12" s="23">
        <v>0</v>
      </c>
      <c r="AZ12" s="23">
        <f t="shared" si="0"/>
        <v>130.76950000000002</v>
      </c>
    </row>
    <row r="13" spans="2:52" x14ac:dyDescent="0.3">
      <c r="B13" s="22" t="s">
        <v>11</v>
      </c>
      <c r="C13" s="65" t="s">
        <v>12</v>
      </c>
      <c r="D13" s="66"/>
      <c r="E13" s="67"/>
      <c r="G13" s="92"/>
      <c r="H13" s="49"/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11</v>
      </c>
      <c r="O13" s="11">
        <v>36.65</v>
      </c>
      <c r="P13" s="11"/>
      <c r="Q13" s="17">
        <f t="shared" si="1"/>
        <v>8.3749999999999991E-2</v>
      </c>
      <c r="R13" s="17" t="s">
        <v>84</v>
      </c>
      <c r="S13"/>
      <c r="T13" s="34">
        <v>4.5</v>
      </c>
      <c r="U13" s="29">
        <v>0</v>
      </c>
      <c r="V13" s="23">
        <v>0</v>
      </c>
      <c r="W13" s="30">
        <v>0</v>
      </c>
      <c r="X13" s="31">
        <v>0</v>
      </c>
      <c r="Y13" s="23">
        <v>0</v>
      </c>
      <c r="Z13" s="23">
        <v>0</v>
      </c>
      <c r="AA13" s="23">
        <v>0</v>
      </c>
      <c r="AB13" s="23">
        <v>0.41070000000000001</v>
      </c>
      <c r="AC13" s="23">
        <v>0.5</v>
      </c>
      <c r="AD13" s="23">
        <v>0.46589999999999998</v>
      </c>
      <c r="AE13" s="23">
        <v>0.5</v>
      </c>
      <c r="AF13" s="23">
        <v>0.5</v>
      </c>
      <c r="AG13" s="32">
        <v>0.5</v>
      </c>
      <c r="AH13" s="29">
        <v>53.5</v>
      </c>
      <c r="AI13" s="23">
        <v>9.1999999999999998E-3</v>
      </c>
      <c r="AJ13" s="23">
        <v>0.35299999999999998</v>
      </c>
      <c r="AK13" s="23">
        <v>0.45829999999999999</v>
      </c>
      <c r="AL13" s="23">
        <v>3.4647000000000001</v>
      </c>
      <c r="AM13" s="23">
        <v>32.691099999999999</v>
      </c>
      <c r="AN13" s="23">
        <v>2.29E-2</v>
      </c>
      <c r="AO13" s="23">
        <v>0.1208</v>
      </c>
      <c r="AP13" s="23">
        <v>0.19889999999999999</v>
      </c>
      <c r="AQ13" s="23">
        <v>0</v>
      </c>
      <c r="AR13" s="23">
        <v>0</v>
      </c>
      <c r="AS13" s="23">
        <v>1.8079000000000001</v>
      </c>
      <c r="AT13" s="23">
        <v>0.54010000000000002</v>
      </c>
      <c r="AU13" s="23">
        <v>0</v>
      </c>
      <c r="AV13" s="23">
        <v>1.7904</v>
      </c>
      <c r="AW13" s="23">
        <v>0</v>
      </c>
      <c r="AX13" s="23">
        <v>0</v>
      </c>
      <c r="AY13" s="23">
        <v>0</v>
      </c>
      <c r="AZ13" s="23">
        <f t="shared" si="0"/>
        <v>94.957300000000018</v>
      </c>
    </row>
    <row r="14" spans="2:52" x14ac:dyDescent="0.3">
      <c r="B14" s="49" t="s">
        <v>13</v>
      </c>
      <c r="C14" s="65" t="s">
        <v>14</v>
      </c>
      <c r="D14" s="66"/>
      <c r="E14" s="67"/>
      <c r="S14"/>
      <c r="T14" s="34">
        <v>5</v>
      </c>
      <c r="U14" s="29">
        <v>0</v>
      </c>
      <c r="V14" s="23">
        <v>0</v>
      </c>
      <c r="W14" s="30">
        <v>0</v>
      </c>
      <c r="X14" s="31">
        <v>0</v>
      </c>
      <c r="Y14" s="23">
        <v>0</v>
      </c>
      <c r="Z14" s="23">
        <v>0</v>
      </c>
      <c r="AA14" s="23">
        <v>0</v>
      </c>
      <c r="AB14" s="23">
        <v>0.36809999999999998</v>
      </c>
      <c r="AC14" s="23">
        <v>0.5</v>
      </c>
      <c r="AD14" s="23">
        <v>0.46300000000000002</v>
      </c>
      <c r="AE14" s="23">
        <v>0.5</v>
      </c>
      <c r="AF14" s="23">
        <v>0.5</v>
      </c>
      <c r="AG14" s="32">
        <v>0.5</v>
      </c>
      <c r="AH14" s="29">
        <v>53.5</v>
      </c>
      <c r="AI14" s="23">
        <v>1.0999999999999999E-2</v>
      </c>
      <c r="AJ14" s="23">
        <v>0.42</v>
      </c>
      <c r="AK14" s="23">
        <v>0.55000000000000004</v>
      </c>
      <c r="AL14" s="23">
        <v>3.91</v>
      </c>
      <c r="AM14" s="23">
        <v>31.3</v>
      </c>
      <c r="AN14" s="23">
        <v>2.75E-2</v>
      </c>
      <c r="AO14" s="23">
        <v>0.14499999999999999</v>
      </c>
      <c r="AP14" s="23">
        <v>0.19889999999999999</v>
      </c>
      <c r="AQ14" s="23">
        <v>0</v>
      </c>
      <c r="AR14" s="23">
        <v>0</v>
      </c>
      <c r="AS14" s="23">
        <v>1.6088</v>
      </c>
      <c r="AT14" s="23">
        <v>0.94969999999999999</v>
      </c>
      <c r="AU14" s="23">
        <v>0</v>
      </c>
      <c r="AV14" s="23">
        <v>1.9450000000000001</v>
      </c>
      <c r="AW14" s="23">
        <v>0</v>
      </c>
      <c r="AX14" s="23">
        <v>0</v>
      </c>
      <c r="AY14" s="23">
        <v>0</v>
      </c>
      <c r="AZ14" s="23">
        <f t="shared" si="0"/>
        <v>94.565899999999999</v>
      </c>
    </row>
    <row r="15" spans="2:52" x14ac:dyDescent="0.3">
      <c r="B15" s="46"/>
      <c r="C15" s="65" t="s">
        <v>15</v>
      </c>
      <c r="D15" s="66"/>
      <c r="E15" s="67"/>
      <c r="S15"/>
      <c r="T15" s="34">
        <v>5.5</v>
      </c>
      <c r="U15" s="29">
        <v>0</v>
      </c>
      <c r="V15" s="23">
        <v>0</v>
      </c>
      <c r="W15" s="30">
        <v>0</v>
      </c>
      <c r="X15" s="31">
        <v>0</v>
      </c>
      <c r="Y15" s="23">
        <v>0</v>
      </c>
      <c r="Z15" s="23">
        <v>0</v>
      </c>
      <c r="AA15" s="23">
        <v>0</v>
      </c>
      <c r="AB15" s="23">
        <v>0.4083</v>
      </c>
      <c r="AC15" s="23">
        <v>0.5</v>
      </c>
      <c r="AD15" s="23">
        <v>0.46300000000000002</v>
      </c>
      <c r="AE15" s="23">
        <v>0.5</v>
      </c>
      <c r="AF15" s="23">
        <v>0.5</v>
      </c>
      <c r="AG15" s="32">
        <v>0.5</v>
      </c>
      <c r="AH15" s="29">
        <v>53.5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0.1986</v>
      </c>
      <c r="AQ15" s="23">
        <v>0</v>
      </c>
      <c r="AR15" s="23">
        <v>0</v>
      </c>
      <c r="AS15" s="23">
        <v>2.5063</v>
      </c>
      <c r="AT15" s="23">
        <v>0.56989999999999996</v>
      </c>
      <c r="AU15" s="23">
        <v>0</v>
      </c>
      <c r="AV15" s="23">
        <v>1.9450000000000001</v>
      </c>
      <c r="AW15" s="23">
        <v>0</v>
      </c>
      <c r="AX15" s="23">
        <v>0</v>
      </c>
      <c r="AY15" s="23">
        <v>0</v>
      </c>
      <c r="AZ15" s="23">
        <f t="shared" si="0"/>
        <v>58.719799999999999</v>
      </c>
    </row>
    <row r="16" spans="2:52" x14ac:dyDescent="0.3">
      <c r="B16" s="46"/>
      <c r="C16" s="65" t="s">
        <v>16</v>
      </c>
      <c r="D16" s="66"/>
      <c r="E16" s="67"/>
      <c r="S16"/>
      <c r="T16" s="34">
        <v>6</v>
      </c>
      <c r="U16" s="29">
        <v>0</v>
      </c>
      <c r="V16" s="23">
        <v>0</v>
      </c>
      <c r="W16" s="30">
        <v>0</v>
      </c>
      <c r="X16" s="31">
        <v>0</v>
      </c>
      <c r="Y16" s="23">
        <v>0</v>
      </c>
      <c r="Z16" s="23">
        <v>0</v>
      </c>
      <c r="AA16" s="23">
        <v>0</v>
      </c>
      <c r="AB16" s="23">
        <v>0.41249999999999998</v>
      </c>
      <c r="AC16" s="23">
        <v>0.5</v>
      </c>
      <c r="AD16" s="23">
        <v>0.46300000000000002</v>
      </c>
      <c r="AE16" s="23">
        <v>0.5</v>
      </c>
      <c r="AF16" s="23">
        <v>0.5</v>
      </c>
      <c r="AG16" s="32">
        <v>0.5</v>
      </c>
      <c r="AH16" s="29">
        <v>53.5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0.1986</v>
      </c>
      <c r="AQ16" s="23">
        <v>0</v>
      </c>
      <c r="AR16" s="23">
        <v>0</v>
      </c>
      <c r="AS16" s="23">
        <v>3.7846000000000002</v>
      </c>
      <c r="AT16" s="23">
        <v>0.53029999999999999</v>
      </c>
      <c r="AU16" s="23">
        <v>0</v>
      </c>
      <c r="AV16" s="23">
        <v>1.9450000000000001</v>
      </c>
      <c r="AW16" s="23">
        <v>0</v>
      </c>
      <c r="AX16" s="23">
        <v>0</v>
      </c>
      <c r="AY16" s="23">
        <v>0</v>
      </c>
      <c r="AZ16" s="23">
        <f t="shared" si="0"/>
        <v>59.958499999999994</v>
      </c>
    </row>
    <row r="17" spans="2:52" x14ac:dyDescent="0.3">
      <c r="B17" s="46"/>
      <c r="C17" s="65" t="s">
        <v>17</v>
      </c>
      <c r="D17" s="66"/>
      <c r="E17" s="67"/>
      <c r="S17"/>
      <c r="T17" s="34">
        <v>6.5</v>
      </c>
      <c r="U17" s="29">
        <v>0</v>
      </c>
      <c r="V17" s="23">
        <v>0</v>
      </c>
      <c r="W17" s="30">
        <v>0</v>
      </c>
      <c r="X17" s="31">
        <v>0</v>
      </c>
      <c r="Y17" s="23">
        <v>0</v>
      </c>
      <c r="Z17" s="23">
        <v>9.2600000000000002E-2</v>
      </c>
      <c r="AA17" s="23">
        <v>0</v>
      </c>
      <c r="AB17" s="23">
        <v>0.21210000000000001</v>
      </c>
      <c r="AC17" s="23">
        <v>0.128</v>
      </c>
      <c r="AD17" s="23">
        <v>0.46300000000000002</v>
      </c>
      <c r="AE17" s="23">
        <v>0.5</v>
      </c>
      <c r="AF17" s="23">
        <v>0.5</v>
      </c>
      <c r="AG17" s="32">
        <v>0.5</v>
      </c>
      <c r="AH17" s="29">
        <v>53.5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0.1986</v>
      </c>
      <c r="AQ17" s="23">
        <v>0</v>
      </c>
      <c r="AR17" s="23">
        <v>0</v>
      </c>
      <c r="AS17" s="23">
        <v>4.1382000000000003</v>
      </c>
      <c r="AT17" s="23">
        <v>2.8696999999999999</v>
      </c>
      <c r="AU17" s="23">
        <v>29.427800000000001</v>
      </c>
      <c r="AV17" s="23">
        <v>1.9450000000000001</v>
      </c>
      <c r="AW17" s="23">
        <v>0</v>
      </c>
      <c r="AX17" s="23">
        <v>0</v>
      </c>
      <c r="AY17" s="23">
        <v>0</v>
      </c>
      <c r="AZ17" s="23">
        <f t="shared" si="0"/>
        <v>92.079299999999989</v>
      </c>
    </row>
    <row r="18" spans="2:52" x14ac:dyDescent="0.3">
      <c r="B18" s="46"/>
      <c r="C18" s="65" t="s">
        <v>18</v>
      </c>
      <c r="D18" s="66"/>
      <c r="E18" s="67"/>
      <c r="G18"/>
      <c r="H18"/>
      <c r="S18"/>
      <c r="T18" s="34">
        <v>7</v>
      </c>
      <c r="U18" s="29">
        <v>18</v>
      </c>
      <c r="V18" s="23">
        <v>0</v>
      </c>
      <c r="W18" s="30">
        <v>0</v>
      </c>
      <c r="X18" s="31">
        <v>0</v>
      </c>
      <c r="Y18" s="23">
        <v>0</v>
      </c>
      <c r="Z18" s="23">
        <v>0.5</v>
      </c>
      <c r="AA18" s="23">
        <v>0</v>
      </c>
      <c r="AB18" s="23">
        <v>0.24160000000000001</v>
      </c>
      <c r="AC18" s="23">
        <v>0</v>
      </c>
      <c r="AD18" s="23">
        <v>0.41349999999999998</v>
      </c>
      <c r="AE18" s="23">
        <v>0.43459999999999999</v>
      </c>
      <c r="AF18" s="23">
        <v>0.5</v>
      </c>
      <c r="AG18" s="32">
        <v>0.375</v>
      </c>
      <c r="AH18" s="29">
        <v>53.5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0.24129999999999999</v>
      </c>
      <c r="AQ18" s="23">
        <v>0</v>
      </c>
      <c r="AR18" s="23">
        <v>0</v>
      </c>
      <c r="AS18" s="23">
        <v>3.2204999999999999</v>
      </c>
      <c r="AT18" s="23">
        <v>2.8498000000000001</v>
      </c>
      <c r="AU18" s="23">
        <v>39.552</v>
      </c>
      <c r="AV18" s="23">
        <v>4.5444000000000004</v>
      </c>
      <c r="AW18" s="23">
        <v>0.12989999999999999</v>
      </c>
      <c r="AX18" s="23">
        <v>0</v>
      </c>
      <c r="AY18" s="23">
        <v>5.9512</v>
      </c>
      <c r="AZ18" s="23">
        <f t="shared" si="0"/>
        <v>109.98910000000001</v>
      </c>
    </row>
    <row r="19" spans="2:52" x14ac:dyDescent="0.3">
      <c r="B19" s="46"/>
      <c r="C19" s="65" t="s">
        <v>19</v>
      </c>
      <c r="D19" s="66"/>
      <c r="E19" s="67"/>
      <c r="S19"/>
      <c r="T19" s="34">
        <v>7.5</v>
      </c>
      <c r="U19" s="29">
        <v>20</v>
      </c>
      <c r="V19" s="23">
        <v>0</v>
      </c>
      <c r="W19" s="30">
        <v>0</v>
      </c>
      <c r="X19" s="31">
        <v>0</v>
      </c>
      <c r="Y19" s="23">
        <v>0</v>
      </c>
      <c r="Z19" s="23">
        <v>0.5</v>
      </c>
      <c r="AA19" s="23">
        <v>0</v>
      </c>
      <c r="AB19" s="23">
        <v>0.22639999999999999</v>
      </c>
      <c r="AC19" s="23">
        <v>0</v>
      </c>
      <c r="AD19" s="23">
        <v>0</v>
      </c>
      <c r="AE19" s="23">
        <v>0.44040000000000001</v>
      </c>
      <c r="AF19" s="23">
        <v>0.5</v>
      </c>
      <c r="AG19" s="32">
        <v>0.48609999999999998</v>
      </c>
      <c r="AH19" s="29">
        <v>53.5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0.2482</v>
      </c>
      <c r="AQ19" s="23">
        <v>0</v>
      </c>
      <c r="AR19" s="23">
        <v>0</v>
      </c>
      <c r="AS19" s="23">
        <v>4.1744000000000003</v>
      </c>
      <c r="AT19" s="23">
        <v>3.0748000000000002</v>
      </c>
      <c r="AU19" s="23">
        <v>40.447400000000002</v>
      </c>
      <c r="AV19" s="23">
        <v>27.746700000000001</v>
      </c>
      <c r="AW19" s="23">
        <v>0.1183</v>
      </c>
      <c r="AX19" s="23">
        <v>0</v>
      </c>
      <c r="AY19" s="23">
        <v>0.66120000000000001</v>
      </c>
      <c r="AZ19" s="23">
        <f t="shared" si="0"/>
        <v>129.971</v>
      </c>
    </row>
    <row r="20" spans="2:52" x14ac:dyDescent="0.3">
      <c r="B20" s="46"/>
      <c r="C20" s="65" t="s">
        <v>20</v>
      </c>
      <c r="D20" s="66"/>
      <c r="E20" s="67"/>
      <c r="S20"/>
      <c r="T20" s="34">
        <v>8</v>
      </c>
      <c r="U20" s="29">
        <v>73</v>
      </c>
      <c r="V20" s="23">
        <v>0</v>
      </c>
      <c r="W20" s="30">
        <v>0</v>
      </c>
      <c r="X20" s="31">
        <v>0</v>
      </c>
      <c r="Y20" s="23">
        <v>0</v>
      </c>
      <c r="Z20" s="23">
        <v>0.5</v>
      </c>
      <c r="AA20" s="23">
        <v>7.4999999999999997E-2</v>
      </c>
      <c r="AB20" s="23">
        <v>0.4536</v>
      </c>
      <c r="AC20" s="23">
        <v>0</v>
      </c>
      <c r="AD20" s="23">
        <v>0.49080000000000001</v>
      </c>
      <c r="AE20" s="23">
        <v>0.25</v>
      </c>
      <c r="AF20" s="23">
        <v>0.5</v>
      </c>
      <c r="AG20" s="32">
        <v>0.13189999999999999</v>
      </c>
      <c r="AH20" s="29">
        <v>53.5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0.21709999999999999</v>
      </c>
      <c r="AQ20" s="23">
        <v>0</v>
      </c>
      <c r="AR20" s="23">
        <v>0</v>
      </c>
      <c r="AS20" s="23">
        <v>3.71</v>
      </c>
      <c r="AT20" s="23">
        <v>0.20050000000000001</v>
      </c>
      <c r="AU20" s="23">
        <v>39.991500000000002</v>
      </c>
      <c r="AV20" s="23">
        <v>0.48399999999999999</v>
      </c>
      <c r="AW20" s="23">
        <v>0.4965</v>
      </c>
      <c r="AX20" s="23">
        <v>0</v>
      </c>
      <c r="AY20" s="23">
        <v>17.523</v>
      </c>
      <c r="AZ20" s="23">
        <f t="shared" si="0"/>
        <v>116.12259999999999</v>
      </c>
    </row>
    <row r="21" spans="2:52" x14ac:dyDescent="0.3">
      <c r="B21" s="50" t="s">
        <v>21</v>
      </c>
      <c r="C21" s="59" t="s">
        <v>49</v>
      </c>
      <c r="D21" s="60"/>
      <c r="E21" s="61"/>
      <c r="S21" s="36"/>
      <c r="T21" s="40">
        <v>8.5</v>
      </c>
      <c r="U21" s="41">
        <v>73</v>
      </c>
      <c r="V21" s="42">
        <v>0</v>
      </c>
      <c r="W21" s="43">
        <v>0</v>
      </c>
      <c r="X21" s="44">
        <v>0</v>
      </c>
      <c r="Y21" s="42">
        <v>0</v>
      </c>
      <c r="Z21" s="42">
        <v>0.49270000000000003</v>
      </c>
      <c r="AA21" s="42">
        <v>0.5</v>
      </c>
      <c r="AB21" s="42">
        <v>0.4511</v>
      </c>
      <c r="AC21" s="42">
        <v>0</v>
      </c>
      <c r="AD21" s="42">
        <v>0.48120000000000002</v>
      </c>
      <c r="AE21" s="42">
        <v>0.5</v>
      </c>
      <c r="AF21" s="42">
        <v>0.5</v>
      </c>
      <c r="AG21" s="45">
        <v>0.5</v>
      </c>
      <c r="AH21" s="41">
        <v>53.5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0.63270000000000004</v>
      </c>
      <c r="AQ21" s="42">
        <v>0</v>
      </c>
      <c r="AR21" s="42">
        <v>0</v>
      </c>
      <c r="AS21" s="42">
        <v>0</v>
      </c>
      <c r="AT21" s="42">
        <v>0.13489999999999999</v>
      </c>
      <c r="AU21" s="42">
        <v>55.702399999999997</v>
      </c>
      <c r="AV21" s="42">
        <v>0.98629999999999995</v>
      </c>
      <c r="AW21" s="42">
        <v>0</v>
      </c>
      <c r="AX21" s="42">
        <v>0</v>
      </c>
      <c r="AY21" s="42">
        <v>0</v>
      </c>
      <c r="AZ21" s="42">
        <f t="shared" si="0"/>
        <v>110.9563</v>
      </c>
    </row>
    <row r="22" spans="2:52" x14ac:dyDescent="0.3">
      <c r="B22" s="58"/>
      <c r="C22" s="62"/>
      <c r="D22" s="63"/>
      <c r="E22" s="64"/>
      <c r="S22"/>
      <c r="T22" s="34">
        <v>9</v>
      </c>
      <c r="U22" s="29">
        <v>73</v>
      </c>
      <c r="V22" s="23">
        <v>0</v>
      </c>
      <c r="W22" s="30">
        <v>0</v>
      </c>
      <c r="X22" s="31">
        <v>0</v>
      </c>
      <c r="Y22" s="23">
        <v>0</v>
      </c>
      <c r="Z22" s="23">
        <v>0.5</v>
      </c>
      <c r="AA22" s="23">
        <v>0.5</v>
      </c>
      <c r="AB22" s="23">
        <v>0.43659999999999999</v>
      </c>
      <c r="AC22" s="23">
        <v>0.13980000000000001</v>
      </c>
      <c r="AD22" s="23">
        <v>0.2361</v>
      </c>
      <c r="AE22" s="23">
        <v>0.5</v>
      </c>
      <c r="AF22" s="23">
        <v>0.5</v>
      </c>
      <c r="AG22" s="32">
        <v>0.5</v>
      </c>
      <c r="AH22" s="29">
        <v>53.5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0.74460000000000004</v>
      </c>
      <c r="AQ22" s="23">
        <v>0</v>
      </c>
      <c r="AR22" s="23">
        <v>0</v>
      </c>
      <c r="AS22" s="23">
        <v>0</v>
      </c>
      <c r="AT22" s="23">
        <v>0.14849999999999999</v>
      </c>
      <c r="AU22" s="23">
        <v>42.738100000000003</v>
      </c>
      <c r="AV22" s="23">
        <v>13.8569</v>
      </c>
      <c r="AW22" s="23">
        <v>0</v>
      </c>
      <c r="AX22" s="23">
        <v>0</v>
      </c>
      <c r="AY22" s="23">
        <v>0</v>
      </c>
      <c r="AZ22" s="23">
        <f t="shared" si="0"/>
        <v>110.9881</v>
      </c>
    </row>
    <row r="23" spans="2:52" x14ac:dyDescent="0.3">
      <c r="B23" s="9" t="s">
        <v>22</v>
      </c>
      <c r="C23" s="35" t="s">
        <v>23</v>
      </c>
      <c r="D23" s="9" t="s">
        <v>55</v>
      </c>
      <c r="E23" s="9" t="s">
        <v>24</v>
      </c>
      <c r="S23"/>
      <c r="T23" s="34">
        <v>9.5</v>
      </c>
      <c r="U23" s="29">
        <v>73</v>
      </c>
      <c r="V23" s="23">
        <v>0</v>
      </c>
      <c r="W23" s="30">
        <v>0</v>
      </c>
      <c r="X23" s="31">
        <v>0</v>
      </c>
      <c r="Y23" s="23">
        <v>0</v>
      </c>
      <c r="Z23" s="23">
        <v>0.5</v>
      </c>
      <c r="AA23" s="23">
        <v>0.5</v>
      </c>
      <c r="AB23" s="23">
        <v>0.1135</v>
      </c>
      <c r="AC23" s="23">
        <v>0.49509999999999998</v>
      </c>
      <c r="AD23" s="23">
        <v>0.13200000000000001</v>
      </c>
      <c r="AE23" s="23">
        <v>0.5</v>
      </c>
      <c r="AF23" s="23">
        <v>0.5</v>
      </c>
      <c r="AG23" s="32">
        <v>0.5</v>
      </c>
      <c r="AH23" s="29">
        <v>53.5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0.6331</v>
      </c>
      <c r="AQ23" s="23">
        <v>0</v>
      </c>
      <c r="AR23" s="23">
        <v>0</v>
      </c>
      <c r="AS23" s="23">
        <v>0</v>
      </c>
      <c r="AT23" s="23">
        <v>3.4466999999999999</v>
      </c>
      <c r="AU23" s="23">
        <v>0.69520000000000004</v>
      </c>
      <c r="AV23" s="23">
        <v>19.325500000000002</v>
      </c>
      <c r="AW23" s="23">
        <v>0</v>
      </c>
      <c r="AX23" s="23">
        <v>0</v>
      </c>
      <c r="AY23" s="23">
        <v>0</v>
      </c>
      <c r="AZ23" s="23">
        <f t="shared" si="0"/>
        <v>77.600499999999997</v>
      </c>
    </row>
    <row r="24" spans="2:52" x14ac:dyDescent="0.3">
      <c r="B24" s="10" t="s">
        <v>25</v>
      </c>
      <c r="C24" s="10">
        <v>2</v>
      </c>
      <c r="D24" s="10">
        <v>1</v>
      </c>
      <c r="E24" s="10">
        <v>16</v>
      </c>
      <c r="O24"/>
      <c r="P24"/>
      <c r="Q24"/>
      <c r="R24"/>
      <c r="S24"/>
      <c r="T24" s="34">
        <v>10</v>
      </c>
      <c r="U24" s="29">
        <v>73</v>
      </c>
      <c r="V24" s="23">
        <v>0</v>
      </c>
      <c r="W24" s="30">
        <v>0</v>
      </c>
      <c r="X24" s="31">
        <v>0</v>
      </c>
      <c r="Y24" s="23">
        <v>0</v>
      </c>
      <c r="Z24" s="23">
        <v>0.45140000000000002</v>
      </c>
      <c r="AA24" s="23">
        <v>0.5</v>
      </c>
      <c r="AB24" s="23">
        <v>0.1696</v>
      </c>
      <c r="AC24" s="23">
        <v>0</v>
      </c>
      <c r="AD24" s="23">
        <v>0.13009999999999999</v>
      </c>
      <c r="AE24" s="23">
        <v>0.5</v>
      </c>
      <c r="AF24" s="23">
        <v>0.5</v>
      </c>
      <c r="AG24" s="32">
        <v>0.5</v>
      </c>
      <c r="AH24" s="29">
        <v>53.5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0.72989999999999999</v>
      </c>
      <c r="AQ24" s="23">
        <v>0</v>
      </c>
      <c r="AR24" s="23">
        <v>0</v>
      </c>
      <c r="AS24" s="23">
        <v>0</v>
      </c>
      <c r="AT24" s="23">
        <v>2.3702000000000001</v>
      </c>
      <c r="AU24" s="23">
        <v>70.832700000000003</v>
      </c>
      <c r="AV24" s="23">
        <v>19.426500000000001</v>
      </c>
      <c r="AW24" s="23">
        <v>0</v>
      </c>
      <c r="AX24" s="23">
        <v>0</v>
      </c>
      <c r="AY24" s="23">
        <v>0</v>
      </c>
      <c r="AZ24" s="23">
        <f t="shared" si="0"/>
        <v>146.85929999999999</v>
      </c>
    </row>
    <row r="25" spans="2:52" x14ac:dyDescent="0.3">
      <c r="B25" s="11" t="s">
        <v>26</v>
      </c>
      <c r="C25" s="11">
        <v>4</v>
      </c>
      <c r="D25" s="11">
        <v>1</v>
      </c>
      <c r="E25" s="11">
        <v>4</v>
      </c>
      <c r="I25"/>
      <c r="J25"/>
      <c r="K25"/>
      <c r="L25"/>
      <c r="M25"/>
      <c r="S25"/>
      <c r="T25" s="34">
        <v>10.5</v>
      </c>
      <c r="U25" s="29">
        <v>73</v>
      </c>
      <c r="V25" s="23">
        <v>0</v>
      </c>
      <c r="W25" s="30">
        <v>0</v>
      </c>
      <c r="X25" s="31">
        <v>0</v>
      </c>
      <c r="Y25" s="23">
        <v>0</v>
      </c>
      <c r="Z25" s="23">
        <v>0.32640000000000002</v>
      </c>
      <c r="AA25" s="23">
        <v>0.5</v>
      </c>
      <c r="AB25" s="23">
        <v>0.1009</v>
      </c>
      <c r="AC25" s="23">
        <v>6.4199999999999993E-2</v>
      </c>
      <c r="AD25" s="23">
        <v>1.9699999999999999E-2</v>
      </c>
      <c r="AE25" s="23">
        <v>0.5</v>
      </c>
      <c r="AF25" s="23">
        <v>0.5</v>
      </c>
      <c r="AG25" s="32">
        <v>0.5</v>
      </c>
      <c r="AH25" s="29">
        <v>53.5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0.73380000000000001</v>
      </c>
      <c r="AQ25" s="23">
        <v>0</v>
      </c>
      <c r="AR25" s="23">
        <v>0</v>
      </c>
      <c r="AS25" s="23">
        <v>0</v>
      </c>
      <c r="AT25" s="23">
        <v>3.7526000000000002</v>
      </c>
      <c r="AU25" s="23">
        <v>58.504100000000001</v>
      </c>
      <c r="AV25" s="23">
        <v>25.222100000000001</v>
      </c>
      <c r="AW25" s="23">
        <v>0</v>
      </c>
      <c r="AX25" s="23">
        <v>0</v>
      </c>
      <c r="AY25" s="23">
        <v>0</v>
      </c>
      <c r="AZ25" s="23">
        <f t="shared" si="0"/>
        <v>141.71260000000001</v>
      </c>
    </row>
    <row r="26" spans="2:52" x14ac:dyDescent="0.3">
      <c r="B26" s="11" t="s">
        <v>27</v>
      </c>
      <c r="C26" s="11">
        <v>3</v>
      </c>
      <c r="D26" s="11">
        <v>1</v>
      </c>
      <c r="E26" s="11">
        <v>2</v>
      </c>
      <c r="S26"/>
      <c r="T26" s="34">
        <v>11</v>
      </c>
      <c r="U26" s="29">
        <v>121</v>
      </c>
      <c r="V26" s="23">
        <v>0</v>
      </c>
      <c r="W26" s="30">
        <v>0</v>
      </c>
      <c r="X26" s="31">
        <v>0</v>
      </c>
      <c r="Y26" s="23">
        <v>0.33229999999999998</v>
      </c>
      <c r="Z26" s="23">
        <v>0</v>
      </c>
      <c r="AA26" s="23">
        <v>0.5</v>
      </c>
      <c r="AB26" s="23">
        <v>0.02</v>
      </c>
      <c r="AC26" s="23">
        <v>0</v>
      </c>
      <c r="AD26" s="23">
        <v>0.1681</v>
      </c>
      <c r="AE26" s="23">
        <v>8.9599999999999999E-2</v>
      </c>
      <c r="AF26" s="23">
        <v>0.5</v>
      </c>
      <c r="AG26" s="32">
        <v>0</v>
      </c>
      <c r="AH26" s="29">
        <v>53.5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0.70530000000000004</v>
      </c>
      <c r="AQ26" s="23">
        <v>0</v>
      </c>
      <c r="AR26" s="23">
        <v>0</v>
      </c>
      <c r="AS26" s="23">
        <v>0</v>
      </c>
      <c r="AT26" s="23">
        <v>4.8539000000000003</v>
      </c>
      <c r="AU26" s="23">
        <v>59.852699999999999</v>
      </c>
      <c r="AV26" s="23">
        <v>17.428799999999999</v>
      </c>
      <c r="AW26" s="23">
        <v>0.81510000000000005</v>
      </c>
      <c r="AX26" s="23">
        <v>0</v>
      </c>
      <c r="AY26" s="23">
        <v>23.900200000000002</v>
      </c>
      <c r="AZ26" s="23">
        <f t="shared" si="0"/>
        <v>161.05600000000001</v>
      </c>
    </row>
    <row r="27" spans="2:52" x14ac:dyDescent="0.3">
      <c r="B27" s="11" t="s">
        <v>28</v>
      </c>
      <c r="C27" s="11">
        <v>11</v>
      </c>
      <c r="D27" s="11">
        <v>1</v>
      </c>
      <c r="E27" s="11">
        <v>12</v>
      </c>
      <c r="S27"/>
      <c r="T27" s="34">
        <v>11.5</v>
      </c>
      <c r="U27" s="29">
        <v>208</v>
      </c>
      <c r="V27" s="23">
        <v>0</v>
      </c>
      <c r="W27" s="30">
        <v>0</v>
      </c>
      <c r="X27" s="31">
        <v>0</v>
      </c>
      <c r="Y27" s="23">
        <v>0.5</v>
      </c>
      <c r="Z27" s="23">
        <v>0</v>
      </c>
      <c r="AA27" s="23">
        <v>0.5</v>
      </c>
      <c r="AB27" s="23">
        <v>0</v>
      </c>
      <c r="AC27" s="23">
        <v>0</v>
      </c>
      <c r="AD27" s="23">
        <v>0.2722</v>
      </c>
      <c r="AE27" s="23">
        <v>0.49380000000000002</v>
      </c>
      <c r="AF27" s="23">
        <v>0.5</v>
      </c>
      <c r="AG27" s="32">
        <v>6.25E-2</v>
      </c>
      <c r="AH27" s="29">
        <v>53.5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0.5958</v>
      </c>
      <c r="AQ27" s="23">
        <v>0</v>
      </c>
      <c r="AR27" s="23">
        <v>0</v>
      </c>
      <c r="AS27" s="23">
        <v>0</v>
      </c>
      <c r="AT27" s="23">
        <v>2.6722999999999999</v>
      </c>
      <c r="AU27" s="23">
        <v>58.807899999999997</v>
      </c>
      <c r="AV27" s="23">
        <v>11.9618</v>
      </c>
      <c r="AW27" s="23">
        <v>1.24E-2</v>
      </c>
      <c r="AX27" s="23">
        <v>0</v>
      </c>
      <c r="AY27" s="23">
        <v>20.733799999999999</v>
      </c>
      <c r="AZ27" s="23">
        <f t="shared" si="0"/>
        <v>148.28399999999999</v>
      </c>
    </row>
    <row r="28" spans="2:52" x14ac:dyDescent="0.3">
      <c r="B28" s="11" t="s">
        <v>29</v>
      </c>
      <c r="C28" s="11">
        <v>12</v>
      </c>
      <c r="D28" s="11">
        <v>1</v>
      </c>
      <c r="E28" s="11">
        <v>23</v>
      </c>
      <c r="S28"/>
      <c r="T28" s="34">
        <v>12</v>
      </c>
      <c r="U28" s="29">
        <v>208</v>
      </c>
      <c r="V28" s="23">
        <v>0</v>
      </c>
      <c r="W28" s="30">
        <v>5</v>
      </c>
      <c r="X28" s="31">
        <v>0</v>
      </c>
      <c r="Y28" s="23">
        <v>0.5</v>
      </c>
      <c r="Z28" s="23">
        <v>0</v>
      </c>
      <c r="AA28" s="23">
        <v>0.5</v>
      </c>
      <c r="AB28" s="23">
        <v>0</v>
      </c>
      <c r="AC28" s="23">
        <v>0</v>
      </c>
      <c r="AD28" s="23">
        <v>0.26300000000000001</v>
      </c>
      <c r="AE28" s="23">
        <v>0.5</v>
      </c>
      <c r="AF28" s="23">
        <v>0.5</v>
      </c>
      <c r="AG28" s="32">
        <v>0.46529999999999999</v>
      </c>
      <c r="AH28" s="29">
        <v>53.5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0.62880000000000003</v>
      </c>
      <c r="AQ28" s="23">
        <v>0</v>
      </c>
      <c r="AR28" s="23">
        <v>0</v>
      </c>
      <c r="AS28" s="23">
        <v>0</v>
      </c>
      <c r="AT28" s="23">
        <v>3.4639000000000002</v>
      </c>
      <c r="AU28" s="23">
        <v>42.737499999999997</v>
      </c>
      <c r="AV28" s="23">
        <v>12.4457</v>
      </c>
      <c r="AW28" s="23">
        <v>0</v>
      </c>
      <c r="AX28" s="23">
        <v>0</v>
      </c>
      <c r="AY28" s="23">
        <v>1.6531</v>
      </c>
      <c r="AZ28" s="23">
        <f t="shared" si="0"/>
        <v>114.42899999999999</v>
      </c>
    </row>
    <row r="29" spans="2:52" x14ac:dyDescent="0.3">
      <c r="B29" s="11" t="s">
        <v>30</v>
      </c>
      <c r="C29" s="11">
        <v>4</v>
      </c>
      <c r="D29" s="11">
        <v>1</v>
      </c>
      <c r="E29" s="11">
        <v>12</v>
      </c>
      <c r="S29"/>
      <c r="T29" s="34">
        <v>12.5</v>
      </c>
      <c r="U29" s="29">
        <v>216</v>
      </c>
      <c r="V29" s="23">
        <v>0</v>
      </c>
      <c r="W29" s="30">
        <v>39</v>
      </c>
      <c r="X29" s="31">
        <v>0</v>
      </c>
      <c r="Y29" s="23">
        <v>0.5</v>
      </c>
      <c r="Z29" s="23">
        <v>0</v>
      </c>
      <c r="AA29" s="23">
        <v>0.5</v>
      </c>
      <c r="AB29" s="23">
        <v>0</v>
      </c>
      <c r="AC29" s="23">
        <v>0</v>
      </c>
      <c r="AD29" s="23">
        <v>0.36409999999999998</v>
      </c>
      <c r="AE29" s="23">
        <v>0.3236</v>
      </c>
      <c r="AF29" s="23">
        <v>0.5</v>
      </c>
      <c r="AG29" s="32">
        <v>0.11119999999999999</v>
      </c>
      <c r="AH29" s="29">
        <v>53.5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0.67130000000000001</v>
      </c>
      <c r="AQ29" s="23">
        <v>0</v>
      </c>
      <c r="AR29" s="23">
        <v>0</v>
      </c>
      <c r="AS29" s="23">
        <v>0</v>
      </c>
      <c r="AT29" s="23">
        <v>3.149</v>
      </c>
      <c r="AU29" s="23">
        <v>48.611699999999999</v>
      </c>
      <c r="AV29" s="23">
        <v>7.1349999999999998</v>
      </c>
      <c r="AW29" s="23">
        <v>0.3503</v>
      </c>
      <c r="AX29" s="23">
        <v>0</v>
      </c>
      <c r="AY29" s="23">
        <v>18.556899999999999</v>
      </c>
      <c r="AZ29" s="23">
        <f t="shared" si="0"/>
        <v>131.9742</v>
      </c>
    </row>
    <row r="30" spans="2:52" x14ac:dyDescent="0.3">
      <c r="B30" s="11" t="s">
        <v>31</v>
      </c>
      <c r="C30" s="11">
        <v>6</v>
      </c>
      <c r="D30" s="11">
        <v>45</v>
      </c>
      <c r="E30" s="11">
        <v>3</v>
      </c>
      <c r="N30"/>
      <c r="S30"/>
      <c r="T30" s="34">
        <v>13</v>
      </c>
      <c r="U30" s="29">
        <v>216</v>
      </c>
      <c r="V30" s="23">
        <v>0</v>
      </c>
      <c r="W30" s="30">
        <v>72</v>
      </c>
      <c r="X30" s="31">
        <v>0</v>
      </c>
      <c r="Y30" s="23">
        <v>0.39169999999999999</v>
      </c>
      <c r="Z30" s="23">
        <v>0.42359999999999998</v>
      </c>
      <c r="AA30" s="23">
        <v>0.5</v>
      </c>
      <c r="AB30" s="23">
        <v>0</v>
      </c>
      <c r="AC30" s="23">
        <v>0</v>
      </c>
      <c r="AD30" s="23">
        <v>0.44819999999999999</v>
      </c>
      <c r="AE30" s="23">
        <v>0.46810000000000002</v>
      </c>
      <c r="AF30" s="23">
        <v>0.5</v>
      </c>
      <c r="AG30" s="32">
        <v>0.36799999999999999</v>
      </c>
      <c r="AH30" s="29">
        <v>53.5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0.63300000000000001</v>
      </c>
      <c r="AQ30" s="23">
        <v>0</v>
      </c>
      <c r="AR30" s="23">
        <v>0</v>
      </c>
      <c r="AS30" s="23">
        <v>0</v>
      </c>
      <c r="AT30" s="23">
        <v>3.2894000000000001</v>
      </c>
      <c r="AU30" s="23">
        <v>44.284399999999998</v>
      </c>
      <c r="AV30" s="23">
        <v>2.7222</v>
      </c>
      <c r="AW30" s="23">
        <v>6.3399999999999998E-2</v>
      </c>
      <c r="AX30" s="23">
        <v>0</v>
      </c>
      <c r="AY30" s="23">
        <v>6.2397</v>
      </c>
      <c r="AZ30" s="23">
        <f t="shared" si="0"/>
        <v>110.7321</v>
      </c>
    </row>
    <row r="31" spans="2:52" x14ac:dyDescent="0.3">
      <c r="B31" s="11" t="s">
        <v>32</v>
      </c>
      <c r="C31" s="11">
        <v>4</v>
      </c>
      <c r="D31" s="11">
        <v>1</v>
      </c>
      <c r="E31" s="11">
        <v>1</v>
      </c>
      <c r="S31"/>
      <c r="T31" s="34">
        <v>13.5</v>
      </c>
      <c r="U31" s="29">
        <v>216</v>
      </c>
      <c r="V31" s="23">
        <v>0</v>
      </c>
      <c r="W31" s="30">
        <v>72</v>
      </c>
      <c r="X31" s="31">
        <v>0</v>
      </c>
      <c r="Y31" s="23">
        <v>0</v>
      </c>
      <c r="Z31" s="23">
        <v>0.5</v>
      </c>
      <c r="AA31" s="23">
        <v>0.5</v>
      </c>
      <c r="AB31" s="23">
        <v>0</v>
      </c>
      <c r="AC31" s="23">
        <v>0</v>
      </c>
      <c r="AD31" s="23">
        <v>0.41930000000000001</v>
      </c>
      <c r="AE31" s="23">
        <v>0.5</v>
      </c>
      <c r="AF31" s="23">
        <v>0.5</v>
      </c>
      <c r="AG31" s="32">
        <v>0.5</v>
      </c>
      <c r="AH31" s="29">
        <v>53.5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0.60899999999999999</v>
      </c>
      <c r="AQ31" s="23">
        <v>0</v>
      </c>
      <c r="AR31" s="23">
        <v>0</v>
      </c>
      <c r="AS31" s="23">
        <v>0</v>
      </c>
      <c r="AT31" s="23">
        <v>4.4225000000000003</v>
      </c>
      <c r="AU31" s="23">
        <v>66.369299999999996</v>
      </c>
      <c r="AV31" s="23">
        <v>4.2403000000000004</v>
      </c>
      <c r="AW31" s="23">
        <v>0</v>
      </c>
      <c r="AX31" s="23">
        <v>0</v>
      </c>
      <c r="AY31" s="23">
        <v>0</v>
      </c>
      <c r="AZ31" s="23">
        <f t="shared" si="0"/>
        <v>129.14109999999999</v>
      </c>
    </row>
    <row r="32" spans="2:52" x14ac:dyDescent="0.3">
      <c r="B32" s="11" t="s">
        <v>33</v>
      </c>
      <c r="C32" s="11">
        <v>6</v>
      </c>
      <c r="D32" s="11">
        <v>1</v>
      </c>
      <c r="E32" s="11">
        <v>1</v>
      </c>
      <c r="S32"/>
      <c r="T32" s="34">
        <v>14</v>
      </c>
      <c r="U32" s="29">
        <v>219</v>
      </c>
      <c r="V32" s="23">
        <v>0</v>
      </c>
      <c r="W32" s="30">
        <v>72</v>
      </c>
      <c r="X32" s="31">
        <v>0.27989999999999998</v>
      </c>
      <c r="Y32" s="23">
        <v>0</v>
      </c>
      <c r="Z32" s="23">
        <v>0.5</v>
      </c>
      <c r="AA32" s="23">
        <v>0.5</v>
      </c>
      <c r="AB32" s="23">
        <v>0</v>
      </c>
      <c r="AC32" s="23">
        <v>0</v>
      </c>
      <c r="AD32" s="23">
        <v>0.42480000000000001</v>
      </c>
      <c r="AE32" s="23">
        <v>0.5</v>
      </c>
      <c r="AF32" s="23">
        <v>0.5</v>
      </c>
      <c r="AG32" s="32">
        <v>0.47920000000000001</v>
      </c>
      <c r="AH32" s="29">
        <v>53.5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0.26229999999999998</v>
      </c>
      <c r="AQ32" s="23">
        <v>0</v>
      </c>
      <c r="AR32" s="23">
        <v>0</v>
      </c>
      <c r="AS32" s="23">
        <v>0</v>
      </c>
      <c r="AT32" s="23">
        <v>3.2240000000000002</v>
      </c>
      <c r="AU32" s="23">
        <v>54.700200000000002</v>
      </c>
      <c r="AV32" s="23">
        <v>3.9500999999999999</v>
      </c>
      <c r="AW32" s="23">
        <v>0</v>
      </c>
      <c r="AX32" s="23">
        <v>0</v>
      </c>
      <c r="AY32" s="23">
        <v>0.9919</v>
      </c>
      <c r="AZ32" s="23">
        <f t="shared" si="0"/>
        <v>116.6285</v>
      </c>
    </row>
    <row r="33" spans="2:52" x14ac:dyDescent="0.3">
      <c r="B33" s="11" t="s">
        <v>34</v>
      </c>
      <c r="C33" s="11">
        <v>6</v>
      </c>
      <c r="D33" s="11">
        <v>1</v>
      </c>
      <c r="E33" s="11">
        <v>13</v>
      </c>
      <c r="S33"/>
      <c r="T33" s="34">
        <v>14.5</v>
      </c>
      <c r="U33" s="29">
        <v>219</v>
      </c>
      <c r="V33" s="23">
        <v>0</v>
      </c>
      <c r="W33" s="30">
        <v>72</v>
      </c>
      <c r="X33" s="31">
        <v>0.5</v>
      </c>
      <c r="Y33" s="23">
        <v>0</v>
      </c>
      <c r="Z33" s="23">
        <v>0.5</v>
      </c>
      <c r="AA33" s="23">
        <v>0.5</v>
      </c>
      <c r="AB33" s="23">
        <v>0</v>
      </c>
      <c r="AC33" s="23">
        <v>0.37080000000000002</v>
      </c>
      <c r="AD33" s="23">
        <v>0.42480000000000001</v>
      </c>
      <c r="AE33" s="23">
        <v>0.5</v>
      </c>
      <c r="AF33" s="23">
        <v>0.5</v>
      </c>
      <c r="AG33" s="32">
        <v>0.5</v>
      </c>
      <c r="AH33" s="29">
        <v>53.5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2.7105000000000001</v>
      </c>
      <c r="AU33" s="23">
        <v>6.2900999999999998</v>
      </c>
      <c r="AV33" s="23">
        <v>3.9485000000000001</v>
      </c>
      <c r="AW33" s="23">
        <v>0</v>
      </c>
      <c r="AX33" s="23">
        <v>0</v>
      </c>
      <c r="AY33" s="23">
        <v>0</v>
      </c>
      <c r="AZ33" s="23">
        <f t="shared" si="0"/>
        <v>66.449100000000001</v>
      </c>
    </row>
    <row r="34" spans="2:52" x14ac:dyDescent="0.3">
      <c r="B34" s="47" t="s">
        <v>35</v>
      </c>
      <c r="C34" s="48"/>
      <c r="D34" s="48"/>
      <c r="E34" s="48"/>
      <c r="S34"/>
      <c r="T34" s="34">
        <v>15</v>
      </c>
      <c r="U34" s="29">
        <v>219</v>
      </c>
      <c r="V34" s="23">
        <v>11</v>
      </c>
      <c r="W34" s="30">
        <v>72</v>
      </c>
      <c r="X34" s="31">
        <v>0.5</v>
      </c>
      <c r="Y34" s="23">
        <v>0.34720000000000001</v>
      </c>
      <c r="Z34" s="23">
        <v>0.5</v>
      </c>
      <c r="AA34" s="23">
        <v>0.5</v>
      </c>
      <c r="AB34" s="23">
        <v>0</v>
      </c>
      <c r="AC34" s="23">
        <v>0.41560000000000002</v>
      </c>
      <c r="AD34" s="23">
        <v>0.33100000000000002</v>
      </c>
      <c r="AE34" s="23">
        <v>0.5</v>
      </c>
      <c r="AF34" s="23">
        <v>0.5</v>
      </c>
      <c r="AG34" s="32">
        <v>0.4083</v>
      </c>
      <c r="AH34" s="29">
        <v>53.5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2.9173</v>
      </c>
      <c r="AU34" s="23">
        <v>4.1100000000000003</v>
      </c>
      <c r="AV34" s="23">
        <v>8.8752999999999993</v>
      </c>
      <c r="AW34" s="23">
        <v>0</v>
      </c>
      <c r="AX34" s="23">
        <v>0</v>
      </c>
      <c r="AY34" s="23">
        <v>3.6815000000000002</v>
      </c>
      <c r="AZ34" s="23">
        <f t="shared" si="0"/>
        <v>73.084099999999992</v>
      </c>
    </row>
    <row r="35" spans="2:52" x14ac:dyDescent="0.3">
      <c r="B35" s="2" t="s">
        <v>50</v>
      </c>
      <c r="C35" s="46" t="s">
        <v>54</v>
      </c>
      <c r="D35" s="46"/>
      <c r="E35" s="46"/>
      <c r="S35"/>
      <c r="T35" s="34">
        <v>15.5</v>
      </c>
      <c r="U35" s="29">
        <v>219</v>
      </c>
      <c r="V35" s="23">
        <v>11</v>
      </c>
      <c r="W35" s="30">
        <v>72</v>
      </c>
      <c r="X35" s="31">
        <v>0.5</v>
      </c>
      <c r="Y35" s="23">
        <v>0.5</v>
      </c>
      <c r="Z35" s="23">
        <v>0.5</v>
      </c>
      <c r="AA35" s="23">
        <v>0.5</v>
      </c>
      <c r="AB35" s="23">
        <v>0</v>
      </c>
      <c r="AC35" s="23">
        <v>4.5699999999999998E-2</v>
      </c>
      <c r="AD35" s="23">
        <v>0</v>
      </c>
      <c r="AE35" s="23">
        <v>0.5</v>
      </c>
      <c r="AF35" s="23">
        <v>0.5</v>
      </c>
      <c r="AG35" s="32">
        <v>0.5</v>
      </c>
      <c r="AH35" s="29">
        <v>53.5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3.7494000000000001</v>
      </c>
      <c r="AU35" s="23">
        <v>22.639399999999998</v>
      </c>
      <c r="AV35" s="23">
        <v>105.3145</v>
      </c>
      <c r="AW35" s="23">
        <v>0</v>
      </c>
      <c r="AX35" s="23">
        <v>0</v>
      </c>
      <c r="AY35" s="23">
        <v>0</v>
      </c>
      <c r="AZ35" s="23">
        <f t="shared" si="0"/>
        <v>185.20330000000001</v>
      </c>
    </row>
    <row r="36" spans="2:52" x14ac:dyDescent="0.3">
      <c r="B36" s="47" t="s">
        <v>88</v>
      </c>
      <c r="C36" s="48"/>
      <c r="D36" s="48"/>
      <c r="E36" s="48"/>
      <c r="S36"/>
      <c r="T36" s="34">
        <v>16</v>
      </c>
      <c r="U36" s="29">
        <v>219</v>
      </c>
      <c r="V36" s="23">
        <v>11</v>
      </c>
      <c r="W36" s="30">
        <v>72</v>
      </c>
      <c r="X36" s="31">
        <v>0.5</v>
      </c>
      <c r="Y36" s="23">
        <v>0.5</v>
      </c>
      <c r="Z36" s="23">
        <v>0.5</v>
      </c>
      <c r="AA36" s="23">
        <v>0.5</v>
      </c>
      <c r="AB36" s="23">
        <v>0</v>
      </c>
      <c r="AC36" s="23">
        <v>0</v>
      </c>
      <c r="AD36" s="23">
        <v>0.5</v>
      </c>
      <c r="AE36" s="23">
        <v>0.125</v>
      </c>
      <c r="AF36" s="23">
        <v>0.5</v>
      </c>
      <c r="AG36" s="32">
        <v>0</v>
      </c>
      <c r="AH36" s="29">
        <v>53.5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5.3436000000000003</v>
      </c>
      <c r="AU36" s="23">
        <v>48.0745</v>
      </c>
      <c r="AV36" s="23">
        <v>0</v>
      </c>
      <c r="AW36" s="23">
        <v>0.74470000000000003</v>
      </c>
      <c r="AX36" s="23">
        <v>0</v>
      </c>
      <c r="AY36" s="23">
        <v>12.216799999999999</v>
      </c>
      <c r="AZ36" s="23">
        <f t="shared" ref="AZ36:AZ64" si="2">SUM(AH36:AY36)</f>
        <v>119.87960000000001</v>
      </c>
    </row>
    <row r="37" spans="2:52" x14ac:dyDescent="0.3">
      <c r="B37" s="2" t="s">
        <v>53</v>
      </c>
      <c r="C37" s="49" t="s">
        <v>61</v>
      </c>
      <c r="D37" s="49"/>
      <c r="E37" s="49"/>
      <c r="S37"/>
      <c r="T37" s="34">
        <v>16.5</v>
      </c>
      <c r="U37" s="29">
        <v>219</v>
      </c>
      <c r="V37" s="23">
        <v>69</v>
      </c>
      <c r="W37" s="30">
        <v>72</v>
      </c>
      <c r="X37" s="31">
        <v>0.5</v>
      </c>
      <c r="Y37" s="23">
        <v>0.5</v>
      </c>
      <c r="Z37" s="23">
        <v>0.5</v>
      </c>
      <c r="AA37" s="23">
        <v>0.5</v>
      </c>
      <c r="AB37" s="23">
        <v>0</v>
      </c>
      <c r="AC37" s="23">
        <v>0</v>
      </c>
      <c r="AD37" s="23">
        <v>0.5</v>
      </c>
      <c r="AE37" s="23">
        <v>0.5</v>
      </c>
      <c r="AF37" s="23">
        <v>0.5</v>
      </c>
      <c r="AG37" s="32">
        <v>0</v>
      </c>
      <c r="AH37" s="29">
        <v>53.5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4.1119000000000003</v>
      </c>
      <c r="AU37" s="23">
        <v>35.895000000000003</v>
      </c>
      <c r="AV37" s="23">
        <v>0</v>
      </c>
      <c r="AW37" s="23">
        <v>0</v>
      </c>
      <c r="AX37" s="23">
        <v>0</v>
      </c>
      <c r="AY37" s="23">
        <v>23.846900000000002</v>
      </c>
      <c r="AZ37" s="23">
        <f t="shared" si="2"/>
        <v>117.35380000000001</v>
      </c>
    </row>
    <row r="38" spans="2:52" x14ac:dyDescent="0.3">
      <c r="B38" s="2" t="s">
        <v>56</v>
      </c>
      <c r="C38" s="49" t="s">
        <v>57</v>
      </c>
      <c r="D38" s="49"/>
      <c r="E38" s="49"/>
      <c r="S38"/>
      <c r="T38" s="33">
        <v>17</v>
      </c>
      <c r="U38" s="28">
        <v>219</v>
      </c>
      <c r="V38" s="11">
        <v>166</v>
      </c>
      <c r="W38" s="18">
        <v>72</v>
      </c>
      <c r="X38" s="25">
        <v>0.5</v>
      </c>
      <c r="Y38" s="11">
        <v>0.5</v>
      </c>
      <c r="Z38" s="11">
        <v>0.5</v>
      </c>
      <c r="AA38" s="11">
        <v>0.5</v>
      </c>
      <c r="AB38" s="11">
        <v>0</v>
      </c>
      <c r="AC38" s="11">
        <v>0</v>
      </c>
      <c r="AD38" s="11">
        <v>0.443</v>
      </c>
      <c r="AE38" s="11">
        <v>0.5</v>
      </c>
      <c r="AF38" s="11">
        <v>0.5</v>
      </c>
      <c r="AG38" s="24">
        <v>0</v>
      </c>
      <c r="AH38" s="28">
        <v>53.5</v>
      </c>
      <c r="AI38" s="11">
        <v>0</v>
      </c>
      <c r="AJ38" s="11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2.0733999999999999</v>
      </c>
      <c r="AU38" s="23">
        <v>42.096899999999998</v>
      </c>
      <c r="AV38" s="23">
        <v>2.9923999999999999</v>
      </c>
      <c r="AW38" s="23">
        <v>0</v>
      </c>
      <c r="AX38" s="23">
        <v>0</v>
      </c>
      <c r="AY38" s="23">
        <v>23.705300000000001</v>
      </c>
      <c r="AZ38" s="23">
        <f t="shared" si="2"/>
        <v>124.36799999999999</v>
      </c>
    </row>
    <row r="39" spans="2:52" x14ac:dyDescent="0.3">
      <c r="B39" s="2" t="s">
        <v>58</v>
      </c>
      <c r="C39" s="49" t="s">
        <v>57</v>
      </c>
      <c r="D39" s="49"/>
      <c r="E39" s="49"/>
      <c r="S39"/>
      <c r="T39" s="33">
        <v>17.5</v>
      </c>
      <c r="U39" s="28">
        <v>240</v>
      </c>
      <c r="V39" s="11">
        <v>200</v>
      </c>
      <c r="W39" s="18">
        <v>74</v>
      </c>
      <c r="X39" s="25">
        <v>0.5</v>
      </c>
      <c r="Y39" s="11">
        <v>0.5</v>
      </c>
      <c r="Z39" s="11">
        <v>0.5</v>
      </c>
      <c r="AA39" s="11">
        <v>0.5</v>
      </c>
      <c r="AB39" s="11">
        <v>0</v>
      </c>
      <c r="AC39" s="11">
        <v>0</v>
      </c>
      <c r="AD39" s="11">
        <v>0.33889999999999998</v>
      </c>
      <c r="AE39" s="11">
        <v>0.5</v>
      </c>
      <c r="AF39" s="11">
        <v>0.5</v>
      </c>
      <c r="AG39" s="24">
        <v>0.26529999999999998</v>
      </c>
      <c r="AH39" s="28">
        <v>53.5</v>
      </c>
      <c r="AI39" s="11">
        <v>0</v>
      </c>
      <c r="AJ39" s="11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2.4113000000000002</v>
      </c>
      <c r="AU39" s="23">
        <v>70.832700000000003</v>
      </c>
      <c r="AV39" s="23">
        <v>8.4608000000000008</v>
      </c>
      <c r="AW39" s="23">
        <v>0</v>
      </c>
      <c r="AX39" s="23">
        <v>0</v>
      </c>
      <c r="AY39" s="23">
        <v>11.0898</v>
      </c>
      <c r="AZ39" s="23">
        <f t="shared" si="2"/>
        <v>146.2946</v>
      </c>
    </row>
    <row r="40" spans="2:52" x14ac:dyDescent="0.3">
      <c r="B40" s="2" t="s">
        <v>59</v>
      </c>
      <c r="C40" s="49" t="s">
        <v>57</v>
      </c>
      <c r="D40" s="49"/>
      <c r="E40" s="49"/>
      <c r="T40" s="33">
        <v>18</v>
      </c>
      <c r="U40" s="28">
        <v>240</v>
      </c>
      <c r="V40" s="11">
        <v>200</v>
      </c>
      <c r="W40" s="18">
        <v>74</v>
      </c>
      <c r="X40" s="25">
        <v>0.5</v>
      </c>
      <c r="Y40" s="11">
        <v>0.5</v>
      </c>
      <c r="Z40" s="11">
        <v>0.5</v>
      </c>
      <c r="AA40" s="11">
        <v>0.5</v>
      </c>
      <c r="AB40" s="11">
        <v>0</v>
      </c>
      <c r="AC40" s="11">
        <v>0</v>
      </c>
      <c r="AD40" s="11">
        <v>3.3599999999999998E-2</v>
      </c>
      <c r="AE40" s="11">
        <v>0.5</v>
      </c>
      <c r="AF40" s="11">
        <v>0.5</v>
      </c>
      <c r="AG40" s="24">
        <v>0.5</v>
      </c>
      <c r="AH40" s="28">
        <v>53.5</v>
      </c>
      <c r="AI40" s="11">
        <v>0</v>
      </c>
      <c r="AJ40" s="11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5.4311999999999996</v>
      </c>
      <c r="AU40" s="23">
        <v>70.832700000000003</v>
      </c>
      <c r="AV40" s="23">
        <v>24.4923</v>
      </c>
      <c r="AW40" s="23">
        <v>0</v>
      </c>
      <c r="AX40" s="23">
        <v>0</v>
      </c>
      <c r="AY40" s="23">
        <v>0</v>
      </c>
      <c r="AZ40" s="23">
        <f t="shared" si="2"/>
        <v>154.25620000000001</v>
      </c>
    </row>
    <row r="41" spans="2:52" x14ac:dyDescent="0.3">
      <c r="B41" s="2" t="s">
        <v>89</v>
      </c>
      <c r="C41" s="46" t="s">
        <v>90</v>
      </c>
      <c r="D41" s="46"/>
      <c r="E41" s="46"/>
      <c r="T41" s="33">
        <v>18.5</v>
      </c>
      <c r="U41" s="28">
        <v>240</v>
      </c>
      <c r="V41" s="11">
        <v>200</v>
      </c>
      <c r="W41" s="18">
        <v>74</v>
      </c>
      <c r="X41" s="25">
        <v>0.5</v>
      </c>
      <c r="Y41" s="11">
        <v>0.5</v>
      </c>
      <c r="Z41" s="11">
        <v>0.5</v>
      </c>
      <c r="AA41" s="11">
        <v>0.5</v>
      </c>
      <c r="AB41" s="11">
        <v>0.29220000000000002</v>
      </c>
      <c r="AC41" s="11">
        <v>0</v>
      </c>
      <c r="AD41" s="11">
        <v>0</v>
      </c>
      <c r="AE41" s="11">
        <v>0.5</v>
      </c>
      <c r="AF41" s="11">
        <v>0.5</v>
      </c>
      <c r="AG41" s="24">
        <v>0.5</v>
      </c>
      <c r="AH41" s="28">
        <v>53.5</v>
      </c>
      <c r="AI41" s="11">
        <v>0</v>
      </c>
      <c r="AJ41" s="11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2.0756999999999999</v>
      </c>
      <c r="AU41" s="23">
        <v>68.2042</v>
      </c>
      <c r="AV41" s="23">
        <v>39.386200000000002</v>
      </c>
      <c r="AW41" s="23">
        <v>0</v>
      </c>
      <c r="AX41" s="23">
        <v>0</v>
      </c>
      <c r="AY41" s="23">
        <v>0</v>
      </c>
      <c r="AZ41" s="23">
        <f t="shared" si="2"/>
        <v>163.1661</v>
      </c>
    </row>
    <row r="42" spans="2:52" ht="16.5" customHeight="1" x14ac:dyDescent="0.3">
      <c r="B42"/>
      <c r="C42"/>
      <c r="D42"/>
      <c r="E42"/>
      <c r="T42" s="33">
        <v>19</v>
      </c>
      <c r="U42" s="28">
        <v>252</v>
      </c>
      <c r="V42" s="11">
        <v>200</v>
      </c>
      <c r="W42" s="18">
        <v>74</v>
      </c>
      <c r="X42" s="25">
        <v>0.5</v>
      </c>
      <c r="Y42" s="11">
        <v>0.5</v>
      </c>
      <c r="Z42" s="23">
        <v>0.5</v>
      </c>
      <c r="AA42" s="23">
        <v>0.5</v>
      </c>
      <c r="AB42" s="23">
        <v>0.5</v>
      </c>
      <c r="AC42" s="23">
        <v>0</v>
      </c>
      <c r="AD42" s="23">
        <v>0</v>
      </c>
      <c r="AE42" s="23">
        <v>0.33329999999999999</v>
      </c>
      <c r="AF42" s="23">
        <v>0.5</v>
      </c>
      <c r="AG42" s="24">
        <v>0.31669999999999998</v>
      </c>
      <c r="AH42" s="28">
        <v>53.5</v>
      </c>
      <c r="AI42" s="11">
        <v>0</v>
      </c>
      <c r="AJ42" s="11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64.454599999999999</v>
      </c>
      <c r="AV42" s="23">
        <v>38.388800000000003</v>
      </c>
      <c r="AW42" s="23">
        <v>0.33100000000000002</v>
      </c>
      <c r="AX42" s="23">
        <v>0</v>
      </c>
      <c r="AY42" s="23">
        <v>8.7783999999999995</v>
      </c>
      <c r="AZ42" s="23">
        <f t="shared" si="2"/>
        <v>165.4528</v>
      </c>
    </row>
    <row r="43" spans="2:52" x14ac:dyDescent="0.3">
      <c r="B43"/>
      <c r="C43"/>
      <c r="D43"/>
      <c r="E43"/>
      <c r="T43" s="33">
        <v>19.5</v>
      </c>
      <c r="U43" s="28">
        <v>298</v>
      </c>
      <c r="V43" s="11">
        <v>200</v>
      </c>
      <c r="W43" s="18">
        <v>74</v>
      </c>
      <c r="X43" s="25">
        <v>0.5</v>
      </c>
      <c r="Y43" s="11">
        <v>0.5</v>
      </c>
      <c r="Z43" s="11">
        <v>0.5</v>
      </c>
      <c r="AA43" s="11">
        <v>0.5</v>
      </c>
      <c r="AB43" s="11">
        <v>0.5</v>
      </c>
      <c r="AC43" s="11">
        <v>0</v>
      </c>
      <c r="AD43" s="11">
        <v>0</v>
      </c>
      <c r="AE43" s="11">
        <v>0.5</v>
      </c>
      <c r="AF43" s="11">
        <v>0.5</v>
      </c>
      <c r="AG43" s="24">
        <v>0.28060000000000002</v>
      </c>
      <c r="AH43" s="28">
        <v>53.5</v>
      </c>
      <c r="AI43" s="11">
        <v>0</v>
      </c>
      <c r="AJ43" s="11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70.832700000000003</v>
      </c>
      <c r="AV43" s="23">
        <v>36.566000000000003</v>
      </c>
      <c r="AW43" s="23">
        <v>0</v>
      </c>
      <c r="AX43" s="23">
        <v>0</v>
      </c>
      <c r="AY43" s="23">
        <v>10.3977</v>
      </c>
      <c r="AZ43" s="23">
        <f t="shared" si="2"/>
        <v>171.29640000000001</v>
      </c>
    </row>
    <row r="44" spans="2:52" x14ac:dyDescent="0.3">
      <c r="B44"/>
      <c r="C44"/>
      <c r="D44"/>
      <c r="E44"/>
      <c r="T44" s="33">
        <v>20</v>
      </c>
      <c r="U44" s="28">
        <v>311</v>
      </c>
      <c r="V44" s="11">
        <v>204</v>
      </c>
      <c r="W44" s="18">
        <v>74</v>
      </c>
      <c r="X44" s="25">
        <v>0.5</v>
      </c>
      <c r="Y44" s="11">
        <v>0.5</v>
      </c>
      <c r="Z44" s="11">
        <v>0.5</v>
      </c>
      <c r="AA44" s="11">
        <v>0.5</v>
      </c>
      <c r="AB44" s="11">
        <v>0.5</v>
      </c>
      <c r="AC44" s="11">
        <v>0</v>
      </c>
      <c r="AD44" s="11">
        <v>0</v>
      </c>
      <c r="AE44" s="11">
        <v>0.30059999999999998</v>
      </c>
      <c r="AF44" s="11">
        <v>0.5</v>
      </c>
      <c r="AG44" s="24">
        <v>0.10440000000000001</v>
      </c>
      <c r="AH44" s="28">
        <v>53.5</v>
      </c>
      <c r="AI44" s="11">
        <v>0</v>
      </c>
      <c r="AJ44" s="11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70.832700000000003</v>
      </c>
      <c r="AV44" s="23">
        <v>31.222100000000001</v>
      </c>
      <c r="AW44" s="23">
        <v>0.39600000000000002</v>
      </c>
      <c r="AX44" s="23">
        <v>0</v>
      </c>
      <c r="AY44" s="23">
        <v>10.8752</v>
      </c>
      <c r="AZ44" s="23">
        <f t="shared" si="2"/>
        <v>166.82599999999999</v>
      </c>
    </row>
    <row r="45" spans="2:52" x14ac:dyDescent="0.3">
      <c r="B45"/>
      <c r="C45"/>
      <c r="D45"/>
      <c r="E45"/>
      <c r="T45" s="33">
        <v>20.5</v>
      </c>
      <c r="U45" s="28">
        <v>311</v>
      </c>
      <c r="V45" s="11">
        <v>255</v>
      </c>
      <c r="W45" s="18">
        <v>74</v>
      </c>
      <c r="X45" s="25">
        <v>0.5</v>
      </c>
      <c r="Y45" s="11">
        <v>0.5</v>
      </c>
      <c r="Z45" s="11">
        <v>0.5</v>
      </c>
      <c r="AA45" s="11">
        <v>0.5</v>
      </c>
      <c r="AB45" s="11">
        <v>0.49</v>
      </c>
      <c r="AC45" s="11">
        <v>0</v>
      </c>
      <c r="AD45" s="11">
        <v>0</v>
      </c>
      <c r="AE45" s="11">
        <v>0.24099999999999999</v>
      </c>
      <c r="AF45" s="11">
        <v>0.5</v>
      </c>
      <c r="AG45" s="24">
        <v>0</v>
      </c>
      <c r="AH45" s="28">
        <v>53.5</v>
      </c>
      <c r="AI45" s="11">
        <v>0</v>
      </c>
      <c r="AJ45" s="11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9.7000000000000003E-3</v>
      </c>
      <c r="AU45" s="23">
        <v>66.316000000000003</v>
      </c>
      <c r="AV45" s="23">
        <v>26.2575</v>
      </c>
      <c r="AW45" s="23">
        <v>0.51429999999999998</v>
      </c>
      <c r="AX45" s="23">
        <v>0</v>
      </c>
      <c r="AY45" s="23">
        <v>19.494399999999999</v>
      </c>
      <c r="AZ45" s="23">
        <f t="shared" si="2"/>
        <v>166.09190000000001</v>
      </c>
    </row>
    <row r="46" spans="2:52" x14ac:dyDescent="0.3">
      <c r="B46"/>
      <c r="C46"/>
      <c r="D46"/>
      <c r="E46"/>
      <c r="T46" s="33">
        <v>21</v>
      </c>
      <c r="U46" s="28">
        <v>311</v>
      </c>
      <c r="V46" s="11">
        <v>328</v>
      </c>
      <c r="W46" s="18">
        <v>74</v>
      </c>
      <c r="X46" s="25">
        <v>0.5</v>
      </c>
      <c r="Y46" s="11">
        <v>0.5</v>
      </c>
      <c r="Z46" s="11">
        <v>0.5</v>
      </c>
      <c r="AA46" s="11">
        <v>0.5</v>
      </c>
      <c r="AB46" s="11">
        <v>0.37690000000000001</v>
      </c>
      <c r="AC46" s="11">
        <v>0</v>
      </c>
      <c r="AD46" s="11">
        <v>0</v>
      </c>
      <c r="AE46" s="11">
        <v>0.5</v>
      </c>
      <c r="AF46" s="11">
        <v>0.5</v>
      </c>
      <c r="AG46" s="24">
        <v>0</v>
      </c>
      <c r="AH46" s="28">
        <v>53.5</v>
      </c>
      <c r="AI46" s="11">
        <v>0</v>
      </c>
      <c r="AJ46" s="11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1.0899000000000001</v>
      </c>
      <c r="AU46" s="23">
        <v>63.674199999999999</v>
      </c>
      <c r="AV46" s="23">
        <v>26.2575</v>
      </c>
      <c r="AW46" s="23">
        <v>0</v>
      </c>
      <c r="AX46" s="23">
        <v>0</v>
      </c>
      <c r="AY46" s="23">
        <v>23.8019</v>
      </c>
      <c r="AZ46" s="23">
        <f t="shared" si="2"/>
        <v>168.3235</v>
      </c>
    </row>
    <row r="47" spans="2:52" ht="27.95" customHeight="1" x14ac:dyDescent="0.3">
      <c r="B47"/>
      <c r="C47"/>
      <c r="D47"/>
      <c r="E47"/>
      <c r="T47" s="33">
        <v>21.5</v>
      </c>
      <c r="U47" s="28">
        <v>311</v>
      </c>
      <c r="V47" s="11">
        <v>399</v>
      </c>
      <c r="W47" s="18">
        <v>74</v>
      </c>
      <c r="X47" s="25">
        <v>0.5</v>
      </c>
      <c r="Y47" s="11">
        <v>0.5</v>
      </c>
      <c r="Z47" s="11">
        <v>0.5</v>
      </c>
      <c r="AA47" s="11">
        <v>0.5</v>
      </c>
      <c r="AB47" s="11">
        <v>0.18459999999999999</v>
      </c>
      <c r="AC47" s="11">
        <v>0</v>
      </c>
      <c r="AD47" s="11">
        <v>0</v>
      </c>
      <c r="AE47" s="11">
        <v>0.5</v>
      </c>
      <c r="AF47" s="11">
        <v>0.5</v>
      </c>
      <c r="AG47" s="24">
        <v>0.14699999999999999</v>
      </c>
      <c r="AH47" s="28">
        <v>53.5</v>
      </c>
      <c r="AI47" s="11">
        <v>0</v>
      </c>
      <c r="AJ47" s="11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3.2536999999999998</v>
      </c>
      <c r="AU47" s="23">
        <v>70.832700000000003</v>
      </c>
      <c r="AV47" s="23">
        <v>26.2575</v>
      </c>
      <c r="AW47" s="23">
        <v>0</v>
      </c>
      <c r="AX47" s="23">
        <v>0</v>
      </c>
      <c r="AY47" s="23">
        <v>16.727900000000002</v>
      </c>
      <c r="AZ47" s="23">
        <f t="shared" si="2"/>
        <v>170.5718</v>
      </c>
    </row>
    <row r="48" spans="2:52" x14ac:dyDescent="0.3">
      <c r="B48"/>
      <c r="C48"/>
      <c r="D48"/>
      <c r="E48"/>
      <c r="T48" s="33">
        <v>22</v>
      </c>
      <c r="U48" s="28">
        <v>311</v>
      </c>
      <c r="V48" s="11">
        <v>403</v>
      </c>
      <c r="W48" s="18">
        <v>74</v>
      </c>
      <c r="X48" s="25">
        <v>0.5</v>
      </c>
      <c r="Y48" s="11">
        <v>0.5</v>
      </c>
      <c r="Z48" s="11">
        <v>0.5</v>
      </c>
      <c r="AA48" s="11">
        <v>0.5</v>
      </c>
      <c r="AB48" s="11">
        <v>0.18079999999999999</v>
      </c>
      <c r="AC48" s="11">
        <v>0</v>
      </c>
      <c r="AD48" s="11">
        <v>0</v>
      </c>
      <c r="AE48" s="11">
        <v>0.47589999999999999</v>
      </c>
      <c r="AF48" s="11">
        <v>0.5</v>
      </c>
      <c r="AG48" s="24">
        <v>0.31669999999999998</v>
      </c>
      <c r="AH48" s="28">
        <v>53.5</v>
      </c>
      <c r="AI48" s="11">
        <v>0</v>
      </c>
      <c r="AJ48" s="11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3.2934000000000001</v>
      </c>
      <c r="AU48" s="23">
        <v>70.832700000000003</v>
      </c>
      <c r="AV48" s="23">
        <v>27.831499999999998</v>
      </c>
      <c r="AW48" s="23">
        <v>4.7899999999999998E-2</v>
      </c>
      <c r="AX48" s="23">
        <v>0</v>
      </c>
      <c r="AY48" s="23">
        <v>5.1736000000000004</v>
      </c>
      <c r="AZ48" s="23">
        <f t="shared" si="2"/>
        <v>160.67910000000001</v>
      </c>
    </row>
    <row r="49" spans="2:52" x14ac:dyDescent="0.3">
      <c r="B49"/>
      <c r="C49"/>
      <c r="D49"/>
      <c r="E49"/>
      <c r="T49" s="33">
        <v>22.5</v>
      </c>
      <c r="U49" s="28">
        <v>311</v>
      </c>
      <c r="V49" s="11">
        <v>457</v>
      </c>
      <c r="W49" s="18">
        <v>74</v>
      </c>
      <c r="X49" s="25">
        <v>0.5</v>
      </c>
      <c r="Y49" s="11">
        <v>0.5</v>
      </c>
      <c r="Z49" s="11">
        <v>0.5</v>
      </c>
      <c r="AA49" s="11">
        <v>0.5</v>
      </c>
      <c r="AB49" s="11">
        <v>0.28179999999999999</v>
      </c>
      <c r="AC49" s="11">
        <v>0.18149999999999999</v>
      </c>
      <c r="AD49" s="11">
        <v>0</v>
      </c>
      <c r="AE49" s="11">
        <v>0.4824</v>
      </c>
      <c r="AF49" s="11">
        <v>0.5</v>
      </c>
      <c r="AG49" s="24">
        <v>0.2</v>
      </c>
      <c r="AH49" s="28">
        <v>53.5</v>
      </c>
      <c r="AI49" s="11">
        <v>0</v>
      </c>
      <c r="AJ49" s="11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2.2507000000000001</v>
      </c>
      <c r="AU49" s="23">
        <v>45.123100000000001</v>
      </c>
      <c r="AV49" s="23">
        <v>30.708400000000001</v>
      </c>
      <c r="AW49" s="23">
        <v>3.49E-2</v>
      </c>
      <c r="AX49" s="23">
        <v>0</v>
      </c>
      <c r="AY49" s="23">
        <v>14.2378</v>
      </c>
      <c r="AZ49" s="23">
        <f t="shared" si="2"/>
        <v>145.85489999999999</v>
      </c>
    </row>
    <row r="50" spans="2:52" x14ac:dyDescent="0.3">
      <c r="B50"/>
      <c r="C50"/>
      <c r="D50"/>
      <c r="E50"/>
      <c r="T50" s="33">
        <v>23</v>
      </c>
      <c r="U50" s="28">
        <v>311</v>
      </c>
      <c r="V50" s="11">
        <v>478</v>
      </c>
      <c r="W50" s="18">
        <v>74</v>
      </c>
      <c r="X50" s="25">
        <v>0.5</v>
      </c>
      <c r="Y50" s="11">
        <v>0.5</v>
      </c>
      <c r="Z50" s="11">
        <v>0.5</v>
      </c>
      <c r="AA50" s="11">
        <v>0.5</v>
      </c>
      <c r="AB50" s="11">
        <v>0.5</v>
      </c>
      <c r="AC50" s="11">
        <v>0.5</v>
      </c>
      <c r="AD50" s="11">
        <v>0</v>
      </c>
      <c r="AE50" s="11">
        <v>0.23960000000000001</v>
      </c>
      <c r="AF50" s="11">
        <v>0.5</v>
      </c>
      <c r="AG50" s="24">
        <v>0.10440000000000001</v>
      </c>
      <c r="AH50" s="28">
        <v>53.5</v>
      </c>
      <c r="AI50" s="11">
        <v>0</v>
      </c>
      <c r="AJ50" s="11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61.351900000000001</v>
      </c>
      <c r="AW50" s="23">
        <v>0.51719999999999999</v>
      </c>
      <c r="AX50" s="23">
        <v>0</v>
      </c>
      <c r="AY50" s="23">
        <v>13.7659</v>
      </c>
      <c r="AZ50" s="23">
        <f t="shared" si="2"/>
        <v>129.13499999999999</v>
      </c>
    </row>
    <row r="51" spans="2:52" x14ac:dyDescent="0.3">
      <c r="B51"/>
      <c r="C51"/>
      <c r="D51"/>
      <c r="E51"/>
      <c r="T51" s="33">
        <v>23.5</v>
      </c>
      <c r="U51" s="28">
        <v>349</v>
      </c>
      <c r="V51" s="11">
        <v>497</v>
      </c>
      <c r="W51" s="18">
        <v>74</v>
      </c>
      <c r="X51" s="25">
        <v>0.5</v>
      </c>
      <c r="Y51" s="11">
        <v>0.5</v>
      </c>
      <c r="Z51" s="11">
        <v>0.5</v>
      </c>
      <c r="AA51" s="11">
        <v>0.5</v>
      </c>
      <c r="AB51" s="11">
        <v>0.5</v>
      </c>
      <c r="AC51" s="11">
        <v>0.5</v>
      </c>
      <c r="AD51" s="11">
        <v>0</v>
      </c>
      <c r="AE51" s="11">
        <v>0.46879999999999999</v>
      </c>
      <c r="AF51" s="11">
        <v>0.5</v>
      </c>
      <c r="AG51" s="24">
        <v>0</v>
      </c>
      <c r="AH51" s="28">
        <v>53.5</v>
      </c>
      <c r="AI51" s="11">
        <v>0</v>
      </c>
      <c r="AJ51" s="11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92.462100000000007</v>
      </c>
      <c r="AW51" s="23">
        <v>6.2100000000000002E-2</v>
      </c>
      <c r="AX51" s="23">
        <v>0</v>
      </c>
      <c r="AY51" s="23">
        <v>24.0595</v>
      </c>
      <c r="AZ51" s="23">
        <f t="shared" si="2"/>
        <v>170.08370000000002</v>
      </c>
    </row>
    <row r="52" spans="2:52" x14ac:dyDescent="0.3">
      <c r="B52"/>
      <c r="C52"/>
      <c r="D52"/>
      <c r="E52"/>
      <c r="T52" s="33">
        <v>24</v>
      </c>
      <c r="U52" s="28">
        <v>354</v>
      </c>
      <c r="V52" s="11">
        <v>498</v>
      </c>
      <c r="W52" s="18">
        <v>74</v>
      </c>
      <c r="X52" s="25">
        <v>0.5</v>
      </c>
      <c r="Y52" s="11">
        <v>0.5</v>
      </c>
      <c r="Z52" s="11">
        <v>0.5</v>
      </c>
      <c r="AA52" s="11">
        <v>0.5</v>
      </c>
      <c r="AB52" s="11">
        <v>0.5</v>
      </c>
      <c r="AC52" s="11">
        <v>0.5</v>
      </c>
      <c r="AD52" s="11">
        <v>0</v>
      </c>
      <c r="AE52" s="11">
        <v>0</v>
      </c>
      <c r="AF52" s="11">
        <v>0.5</v>
      </c>
      <c r="AG52" s="24">
        <v>0</v>
      </c>
      <c r="AH52" s="28">
        <v>53.5</v>
      </c>
      <c r="AI52" s="11">
        <v>0</v>
      </c>
      <c r="AJ52" s="11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26.841000000000001</v>
      </c>
      <c r="AW52" s="23">
        <v>0.99299999999999999</v>
      </c>
      <c r="AX52" s="23">
        <v>0</v>
      </c>
      <c r="AY52" s="23">
        <v>24.166699999999999</v>
      </c>
      <c r="AZ52" s="23">
        <f t="shared" si="2"/>
        <v>105.50069999999999</v>
      </c>
    </row>
    <row r="53" spans="2:52" x14ac:dyDescent="0.3">
      <c r="B53"/>
      <c r="C53"/>
      <c r="D53"/>
      <c r="E53"/>
      <c r="T53" s="33">
        <v>24.5</v>
      </c>
      <c r="U53" s="28">
        <v>354</v>
      </c>
      <c r="V53" s="11">
        <v>498</v>
      </c>
      <c r="W53" s="18">
        <v>74</v>
      </c>
      <c r="X53" s="25">
        <v>0.5</v>
      </c>
      <c r="Y53" s="11">
        <v>0.5</v>
      </c>
      <c r="Z53" s="11">
        <v>0.5</v>
      </c>
      <c r="AA53" s="11">
        <v>0.5</v>
      </c>
      <c r="AB53" s="11">
        <v>0.5</v>
      </c>
      <c r="AC53" s="11">
        <v>0.5</v>
      </c>
      <c r="AD53" s="11">
        <v>0</v>
      </c>
      <c r="AE53" s="11">
        <v>0.41670000000000001</v>
      </c>
      <c r="AF53" s="11">
        <v>0.5</v>
      </c>
      <c r="AG53" s="24">
        <v>0</v>
      </c>
      <c r="AH53" s="28">
        <v>53.5</v>
      </c>
      <c r="AI53" s="11">
        <v>0</v>
      </c>
      <c r="AJ53" s="11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26.2575</v>
      </c>
      <c r="AW53" s="23">
        <v>0.16550000000000001</v>
      </c>
      <c r="AX53" s="23">
        <v>0</v>
      </c>
      <c r="AY53" s="23">
        <v>24.104900000000001</v>
      </c>
      <c r="AZ53" s="23">
        <f t="shared" si="2"/>
        <v>104.02789999999999</v>
      </c>
    </row>
    <row r="54" spans="2:52" x14ac:dyDescent="0.3">
      <c r="B54"/>
      <c r="C54"/>
      <c r="D54"/>
      <c r="E54"/>
      <c r="T54" s="33">
        <v>25</v>
      </c>
      <c r="U54" s="28">
        <v>372</v>
      </c>
      <c r="V54" s="11">
        <v>540</v>
      </c>
      <c r="W54" s="18">
        <v>97</v>
      </c>
      <c r="X54" s="25">
        <v>0.5</v>
      </c>
      <c r="Y54" s="11">
        <v>0.5</v>
      </c>
      <c r="Z54" s="11">
        <v>0.5</v>
      </c>
      <c r="AA54" s="11">
        <v>0.5</v>
      </c>
      <c r="AB54" s="11">
        <v>0.5</v>
      </c>
      <c r="AC54" s="11">
        <v>0.5</v>
      </c>
      <c r="AD54" s="11">
        <v>0</v>
      </c>
      <c r="AE54" s="11">
        <v>0.5</v>
      </c>
      <c r="AF54" s="11">
        <v>0.5</v>
      </c>
      <c r="AG54" s="24">
        <v>0</v>
      </c>
      <c r="AH54" s="28">
        <v>53.5</v>
      </c>
      <c r="AI54" s="11">
        <v>0</v>
      </c>
      <c r="AJ54" s="11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26.2575</v>
      </c>
      <c r="AW54" s="23">
        <v>0</v>
      </c>
      <c r="AX54" s="23">
        <v>0</v>
      </c>
      <c r="AY54" s="23">
        <v>23.741499999999998</v>
      </c>
      <c r="AZ54" s="23">
        <f t="shared" si="2"/>
        <v>103.499</v>
      </c>
    </row>
    <row r="55" spans="2:52" x14ac:dyDescent="0.3">
      <c r="B55"/>
      <c r="C55"/>
      <c r="D55"/>
      <c r="E55"/>
      <c r="T55" s="33">
        <v>25.5</v>
      </c>
      <c r="U55" s="28">
        <v>439</v>
      </c>
      <c r="V55" s="11">
        <v>540</v>
      </c>
      <c r="W55" s="18">
        <v>177</v>
      </c>
      <c r="X55" s="25">
        <v>0.5</v>
      </c>
      <c r="Y55" s="11">
        <v>0.5</v>
      </c>
      <c r="Z55" s="11">
        <v>0.5</v>
      </c>
      <c r="AA55" s="11">
        <v>0.5</v>
      </c>
      <c r="AB55" s="11">
        <v>0.5</v>
      </c>
      <c r="AC55" s="11">
        <v>0.5</v>
      </c>
      <c r="AD55" s="11">
        <v>0</v>
      </c>
      <c r="AE55" s="11">
        <v>0.5</v>
      </c>
      <c r="AF55" s="11">
        <v>0.5</v>
      </c>
      <c r="AG55" s="24">
        <v>0</v>
      </c>
      <c r="AH55" s="28">
        <v>53.5</v>
      </c>
      <c r="AI55" s="11">
        <v>0</v>
      </c>
      <c r="AJ55" s="11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26.2575</v>
      </c>
      <c r="AW55" s="23">
        <v>0</v>
      </c>
      <c r="AX55" s="23">
        <v>0</v>
      </c>
      <c r="AY55" s="23">
        <v>23.496500000000001</v>
      </c>
      <c r="AZ55" s="23">
        <f t="shared" si="2"/>
        <v>103.25399999999999</v>
      </c>
    </row>
    <row r="56" spans="2:52" x14ac:dyDescent="0.3">
      <c r="B56"/>
      <c r="C56"/>
      <c r="D56"/>
      <c r="E56"/>
      <c r="T56" s="33">
        <v>26</v>
      </c>
      <c r="U56" s="28">
        <v>518</v>
      </c>
      <c r="V56" s="11">
        <v>540</v>
      </c>
      <c r="W56" s="18">
        <v>245</v>
      </c>
      <c r="X56" s="25">
        <v>0.5</v>
      </c>
      <c r="Y56" s="11">
        <v>0.5</v>
      </c>
      <c r="Z56" s="11">
        <v>0.5</v>
      </c>
      <c r="AA56" s="11">
        <v>0.5</v>
      </c>
      <c r="AB56" s="11">
        <v>0.5</v>
      </c>
      <c r="AC56" s="11">
        <v>0.5</v>
      </c>
      <c r="AD56" s="11">
        <v>0</v>
      </c>
      <c r="AE56" s="11">
        <v>0.5</v>
      </c>
      <c r="AF56" s="11">
        <v>0.5</v>
      </c>
      <c r="AG56" s="24">
        <v>0</v>
      </c>
      <c r="AH56" s="28">
        <v>53.5</v>
      </c>
      <c r="AI56" s="11">
        <v>0</v>
      </c>
      <c r="AJ56" s="11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26.2575</v>
      </c>
      <c r="AW56" s="23">
        <v>0</v>
      </c>
      <c r="AX56" s="23">
        <v>0</v>
      </c>
      <c r="AY56" s="23">
        <v>23.496500000000001</v>
      </c>
      <c r="AZ56" s="23">
        <f t="shared" si="2"/>
        <v>103.25399999999999</v>
      </c>
    </row>
    <row r="57" spans="2:52" x14ac:dyDescent="0.3">
      <c r="B57"/>
      <c r="C57"/>
      <c r="D57"/>
      <c r="E57"/>
      <c r="T57" s="33">
        <v>26.5</v>
      </c>
      <c r="U57" s="28">
        <v>540</v>
      </c>
      <c r="V57" s="11">
        <v>540</v>
      </c>
      <c r="W57" s="18">
        <v>245</v>
      </c>
      <c r="X57" s="25">
        <v>0.5</v>
      </c>
      <c r="Y57" s="11">
        <v>0.5</v>
      </c>
      <c r="Z57" s="11">
        <v>0.5</v>
      </c>
      <c r="AA57" s="11">
        <v>0.5</v>
      </c>
      <c r="AB57" s="11">
        <v>0.5</v>
      </c>
      <c r="AC57" s="11">
        <v>0.5</v>
      </c>
      <c r="AD57" s="11">
        <v>0</v>
      </c>
      <c r="AE57" s="11">
        <v>0.5</v>
      </c>
      <c r="AF57" s="11">
        <v>0.5</v>
      </c>
      <c r="AG57" s="24">
        <v>0.432</v>
      </c>
      <c r="AH57" s="28">
        <v>53.5</v>
      </c>
      <c r="AI57" s="11">
        <v>0</v>
      </c>
      <c r="AJ57" s="11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26.2575</v>
      </c>
      <c r="AW57" s="23">
        <v>0</v>
      </c>
      <c r="AX57" s="23">
        <v>0</v>
      </c>
      <c r="AY57" s="23">
        <v>3.1957</v>
      </c>
      <c r="AZ57" s="23">
        <f t="shared" si="2"/>
        <v>82.953199999999995</v>
      </c>
    </row>
    <row r="58" spans="2:52" x14ac:dyDescent="0.3">
      <c r="B58"/>
      <c r="C58"/>
      <c r="D58"/>
      <c r="E58"/>
      <c r="T58" s="33">
        <v>27</v>
      </c>
      <c r="U58" s="28">
        <v>540</v>
      </c>
      <c r="V58" s="11">
        <v>540</v>
      </c>
      <c r="W58" s="18">
        <v>245</v>
      </c>
      <c r="X58" s="25">
        <v>0.5</v>
      </c>
      <c r="Y58" s="11">
        <v>0.5</v>
      </c>
      <c r="Z58" s="11">
        <v>0.5</v>
      </c>
      <c r="AA58" s="11">
        <v>0.5</v>
      </c>
      <c r="AB58" s="11">
        <v>0.5</v>
      </c>
      <c r="AC58" s="11">
        <v>0.5</v>
      </c>
      <c r="AD58" s="11">
        <v>0.45279999999999998</v>
      </c>
      <c r="AE58" s="11">
        <v>0</v>
      </c>
      <c r="AF58" s="11">
        <v>0.5</v>
      </c>
      <c r="AG58" s="24">
        <v>0</v>
      </c>
      <c r="AH58" s="28">
        <v>53.5</v>
      </c>
      <c r="AI58" s="11">
        <v>0</v>
      </c>
      <c r="AJ58" s="11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2.4799000000000002</v>
      </c>
      <c r="AW58" s="23">
        <v>0.99299999999999999</v>
      </c>
      <c r="AX58" s="23">
        <v>0</v>
      </c>
      <c r="AY58" s="23">
        <v>24.0898</v>
      </c>
      <c r="AZ58" s="23">
        <f t="shared" si="2"/>
        <v>81.062700000000007</v>
      </c>
    </row>
    <row r="59" spans="2:52" x14ac:dyDescent="0.3">
      <c r="B59"/>
      <c r="C59"/>
      <c r="D59"/>
      <c r="E59"/>
      <c r="T59" s="33">
        <v>27.5</v>
      </c>
      <c r="U59" s="28">
        <v>540</v>
      </c>
      <c r="V59" s="11">
        <v>540</v>
      </c>
      <c r="W59" s="18">
        <v>342</v>
      </c>
      <c r="X59" s="25">
        <v>0.5</v>
      </c>
      <c r="Y59" s="11">
        <v>0.5</v>
      </c>
      <c r="Z59" s="11">
        <v>0.5</v>
      </c>
      <c r="AA59" s="11">
        <v>0.5</v>
      </c>
      <c r="AB59" s="11">
        <v>0.5</v>
      </c>
      <c r="AC59" s="11">
        <v>0.5</v>
      </c>
      <c r="AD59" s="11">
        <v>0.45279999999999998</v>
      </c>
      <c r="AE59" s="11">
        <v>0.33329999999999999</v>
      </c>
      <c r="AF59" s="11">
        <v>0.5</v>
      </c>
      <c r="AG59" s="24">
        <v>0</v>
      </c>
      <c r="AH59" s="28">
        <v>53.5</v>
      </c>
      <c r="AI59" s="11">
        <v>0</v>
      </c>
      <c r="AJ59" s="11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2.4799000000000002</v>
      </c>
      <c r="AW59" s="23">
        <v>0.33100000000000002</v>
      </c>
      <c r="AX59" s="23">
        <v>0</v>
      </c>
      <c r="AY59" s="23">
        <v>23.703199999999999</v>
      </c>
      <c r="AZ59" s="23">
        <f t="shared" si="2"/>
        <v>80.014099999999999</v>
      </c>
    </row>
    <row r="60" spans="2:52" x14ac:dyDescent="0.3">
      <c r="B60"/>
      <c r="C60"/>
      <c r="D60"/>
      <c r="E60"/>
      <c r="T60" s="33">
        <v>28</v>
      </c>
      <c r="U60" s="28">
        <v>540</v>
      </c>
      <c r="V60" s="11">
        <v>540</v>
      </c>
      <c r="W60" s="18">
        <v>439</v>
      </c>
      <c r="X60" s="25">
        <v>0.5</v>
      </c>
      <c r="Y60" s="11">
        <v>0.5</v>
      </c>
      <c r="Z60" s="11">
        <v>0.5</v>
      </c>
      <c r="AA60" s="11">
        <v>0.5</v>
      </c>
      <c r="AB60" s="11">
        <v>0.5</v>
      </c>
      <c r="AC60" s="11">
        <v>0.5</v>
      </c>
      <c r="AD60" s="11">
        <v>0.45279999999999998</v>
      </c>
      <c r="AE60" s="11">
        <v>0.5</v>
      </c>
      <c r="AF60" s="11">
        <v>0.5</v>
      </c>
      <c r="AG60" s="24">
        <v>0</v>
      </c>
      <c r="AH60" s="28">
        <v>53.5</v>
      </c>
      <c r="AI60" s="11">
        <v>0</v>
      </c>
      <c r="AJ60" s="11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2.4799000000000002</v>
      </c>
      <c r="AW60" s="23">
        <v>0</v>
      </c>
      <c r="AX60" s="23">
        <v>0</v>
      </c>
      <c r="AY60" s="23">
        <v>23.703900000000001</v>
      </c>
      <c r="AZ60" s="23">
        <f t="shared" si="2"/>
        <v>79.683800000000005</v>
      </c>
    </row>
    <row r="61" spans="2:52" x14ac:dyDescent="0.3">
      <c r="B61"/>
      <c r="C61"/>
      <c r="D61"/>
      <c r="E61"/>
      <c r="T61" s="33">
        <v>28.5</v>
      </c>
      <c r="U61" s="28">
        <v>540</v>
      </c>
      <c r="V61" s="11">
        <v>540</v>
      </c>
      <c r="W61" s="18">
        <v>515</v>
      </c>
      <c r="X61" s="25">
        <v>0.5</v>
      </c>
      <c r="Y61" s="11">
        <v>0.5</v>
      </c>
      <c r="Z61" s="11">
        <v>0.5</v>
      </c>
      <c r="AA61" s="11">
        <v>0.5</v>
      </c>
      <c r="AB61" s="11">
        <v>0.5</v>
      </c>
      <c r="AC61" s="11">
        <v>0.5</v>
      </c>
      <c r="AD61" s="11">
        <v>0.45279999999999998</v>
      </c>
      <c r="AE61" s="11">
        <v>0.5</v>
      </c>
      <c r="AF61" s="11">
        <v>0.5</v>
      </c>
      <c r="AG61" s="24">
        <v>0.125</v>
      </c>
      <c r="AH61" s="28">
        <v>53.5</v>
      </c>
      <c r="AI61" s="11">
        <v>0</v>
      </c>
      <c r="AJ61" s="11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2.4799000000000002</v>
      </c>
      <c r="AW61" s="23">
        <v>0</v>
      </c>
      <c r="AX61" s="23">
        <v>0</v>
      </c>
      <c r="AY61" s="23">
        <v>17.771100000000001</v>
      </c>
      <c r="AZ61" s="23">
        <f t="shared" si="2"/>
        <v>73.751000000000005</v>
      </c>
    </row>
    <row r="62" spans="2:52" x14ac:dyDescent="0.3">
      <c r="B62"/>
      <c r="C62"/>
      <c r="D62"/>
      <c r="E62"/>
      <c r="T62" s="33">
        <v>29</v>
      </c>
      <c r="U62" s="28">
        <v>540</v>
      </c>
      <c r="V62" s="11">
        <v>540</v>
      </c>
      <c r="W62" s="18">
        <v>516</v>
      </c>
      <c r="X62" s="25">
        <v>0.5</v>
      </c>
      <c r="Y62" s="11">
        <v>0.5</v>
      </c>
      <c r="Z62" s="11">
        <v>0.5</v>
      </c>
      <c r="AA62" s="11">
        <v>0.5</v>
      </c>
      <c r="AB62" s="11">
        <v>0.5</v>
      </c>
      <c r="AC62" s="11">
        <v>0.5</v>
      </c>
      <c r="AD62" s="11">
        <v>0.4556</v>
      </c>
      <c r="AE62" s="11">
        <v>0.5</v>
      </c>
      <c r="AF62" s="11">
        <v>0.5</v>
      </c>
      <c r="AG62" s="24">
        <v>0.49309999999999998</v>
      </c>
      <c r="AH62" s="28">
        <v>53.5</v>
      </c>
      <c r="AI62" s="11">
        <v>0</v>
      </c>
      <c r="AJ62" s="11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2.3340000000000001</v>
      </c>
      <c r="AW62" s="23">
        <v>0</v>
      </c>
      <c r="AX62" s="23">
        <v>0</v>
      </c>
      <c r="AY62" s="23">
        <v>0.3306</v>
      </c>
      <c r="AZ62" s="23">
        <f t="shared" si="2"/>
        <v>56.1646</v>
      </c>
    </row>
    <row r="63" spans="2:52" x14ac:dyDescent="0.3">
      <c r="B63"/>
      <c r="C63"/>
      <c r="D63"/>
      <c r="E63"/>
      <c r="T63" s="33">
        <v>29.5</v>
      </c>
      <c r="U63" s="28">
        <v>540</v>
      </c>
      <c r="V63" s="11">
        <v>540</v>
      </c>
      <c r="W63" s="18">
        <v>516</v>
      </c>
      <c r="X63" s="25">
        <v>0.5</v>
      </c>
      <c r="Y63" s="11">
        <v>0.5</v>
      </c>
      <c r="Z63" s="11">
        <v>0.5</v>
      </c>
      <c r="AA63" s="11">
        <v>0.5</v>
      </c>
      <c r="AB63" s="11">
        <v>0.5</v>
      </c>
      <c r="AC63" s="11">
        <v>0.5</v>
      </c>
      <c r="AD63" s="11">
        <v>0.4556</v>
      </c>
      <c r="AE63" s="11">
        <v>0.5</v>
      </c>
      <c r="AF63" s="11">
        <v>0.5</v>
      </c>
      <c r="AG63" s="24">
        <v>0.5</v>
      </c>
      <c r="AH63" s="28">
        <v>53.5</v>
      </c>
      <c r="AI63" s="11">
        <v>0</v>
      </c>
      <c r="AJ63" s="11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2.3340000000000001</v>
      </c>
      <c r="AW63" s="23">
        <v>0</v>
      </c>
      <c r="AX63" s="23">
        <v>0</v>
      </c>
      <c r="AY63" s="23">
        <v>0</v>
      </c>
      <c r="AZ63" s="23">
        <f t="shared" si="2"/>
        <v>55.834000000000003</v>
      </c>
    </row>
    <row r="64" spans="2:52" x14ac:dyDescent="0.3">
      <c r="B64"/>
      <c r="C64"/>
      <c r="D64"/>
      <c r="E64"/>
      <c r="T64" s="33">
        <v>30</v>
      </c>
      <c r="U64" s="28">
        <v>540</v>
      </c>
      <c r="V64" s="11">
        <v>540</v>
      </c>
      <c r="W64" s="18">
        <v>540</v>
      </c>
      <c r="X64" s="25">
        <v>0.18329999999999999</v>
      </c>
      <c r="Y64" s="11">
        <v>0.18329999999999999</v>
      </c>
      <c r="Z64" s="11">
        <v>0.18329999999999999</v>
      </c>
      <c r="AA64" s="11">
        <v>0.18329999999999999</v>
      </c>
      <c r="AB64" s="11">
        <v>0.18329999999999999</v>
      </c>
      <c r="AC64" s="11">
        <v>0.18329999999999999</v>
      </c>
      <c r="AD64" s="11">
        <v>0.18329999999999999</v>
      </c>
      <c r="AE64" s="11">
        <v>0.1</v>
      </c>
      <c r="AF64" s="11">
        <v>0.18329999999999999</v>
      </c>
      <c r="AG64" s="24">
        <v>1.67E-2</v>
      </c>
      <c r="AH64" s="28">
        <v>19.616700000000002</v>
      </c>
      <c r="AI64" s="11">
        <v>0</v>
      </c>
      <c r="AJ64" s="11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0.16550000000000001</v>
      </c>
      <c r="AX64" s="23">
        <v>0</v>
      </c>
      <c r="AY64" s="23">
        <v>7.9348999999999998</v>
      </c>
      <c r="AZ64" s="23">
        <f t="shared" si="2"/>
        <v>27.717100000000002</v>
      </c>
    </row>
    <row r="65" spans="2:5" x14ac:dyDescent="0.3">
      <c r="B65"/>
      <c r="C65"/>
      <c r="D65"/>
      <c r="E65"/>
    </row>
    <row r="66" spans="2:5" x14ac:dyDescent="0.3">
      <c r="B66"/>
      <c r="C66"/>
      <c r="D66"/>
      <c r="E66"/>
    </row>
    <row r="67" spans="2:5" x14ac:dyDescent="0.3">
      <c r="B67"/>
      <c r="C67"/>
      <c r="D67"/>
      <c r="E67"/>
    </row>
    <row r="68" spans="2:5" x14ac:dyDescent="0.3">
      <c r="B68"/>
      <c r="C68"/>
      <c r="D68"/>
      <c r="E68"/>
    </row>
    <row r="69" spans="2:5" x14ac:dyDescent="0.3">
      <c r="B69"/>
      <c r="C69"/>
      <c r="D69"/>
      <c r="E69"/>
    </row>
    <row r="70" spans="2:5" x14ac:dyDescent="0.3">
      <c r="B70"/>
      <c r="C70"/>
      <c r="D70"/>
      <c r="E70"/>
    </row>
    <row r="71" spans="2:5" x14ac:dyDescent="0.3">
      <c r="B71"/>
      <c r="C71"/>
      <c r="D71"/>
      <c r="E71"/>
    </row>
    <row r="72" spans="2:5" ht="80.099999999999994" customHeight="1" x14ac:dyDescent="0.3">
      <c r="B72"/>
      <c r="C72"/>
      <c r="D72"/>
      <c r="E72"/>
    </row>
    <row r="73" spans="2:5" x14ac:dyDescent="0.3">
      <c r="B73"/>
      <c r="C73"/>
      <c r="D73"/>
      <c r="E73"/>
    </row>
    <row r="74" spans="2:5" x14ac:dyDescent="0.3">
      <c r="B74"/>
      <c r="C74"/>
      <c r="D74"/>
      <c r="E74"/>
    </row>
    <row r="81" ht="72" customHeight="1" x14ac:dyDescent="0.3"/>
    <row r="104" ht="57.95" customHeight="1" x14ac:dyDescent="0.3"/>
    <row r="119" ht="87.95" customHeight="1" x14ac:dyDescent="0.3"/>
  </sheetData>
  <mergeCells count="37">
    <mergeCell ref="G5:G13"/>
    <mergeCell ref="H5:H13"/>
    <mergeCell ref="G2:R2"/>
    <mergeCell ref="B14:B20"/>
    <mergeCell ref="C14:E14"/>
    <mergeCell ref="C15:E15"/>
    <mergeCell ref="C16:E16"/>
    <mergeCell ref="C17:E17"/>
    <mergeCell ref="C18:E18"/>
    <mergeCell ref="C19:E19"/>
    <mergeCell ref="C20:E20"/>
    <mergeCell ref="B21:B22"/>
    <mergeCell ref="C21:E22"/>
    <mergeCell ref="B34:E34"/>
    <mergeCell ref="C35:E35"/>
    <mergeCell ref="B36:E36"/>
    <mergeCell ref="B9:B10"/>
    <mergeCell ref="B2:E2"/>
    <mergeCell ref="C3:E3"/>
    <mergeCell ref="C4:E4"/>
    <mergeCell ref="C6:E6"/>
    <mergeCell ref="C7:E7"/>
    <mergeCell ref="C8:E8"/>
    <mergeCell ref="C41:E41"/>
    <mergeCell ref="C5:E5"/>
    <mergeCell ref="X2:AG2"/>
    <mergeCell ref="AH2:AZ2"/>
    <mergeCell ref="C9:E10"/>
    <mergeCell ref="U2:W2"/>
    <mergeCell ref="C38:E38"/>
    <mergeCell ref="C39:E39"/>
    <mergeCell ref="C40:E40"/>
    <mergeCell ref="T2:T3"/>
    <mergeCell ref="C37:E37"/>
    <mergeCell ref="C13:E13"/>
    <mergeCell ref="B11:E11"/>
    <mergeCell ref="C12:E1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1) 설비·생산라인 무한가동</vt:lpstr>
      <vt:lpstr>2) PO납기일 기반 생산계획</vt:lpstr>
      <vt:lpstr>2-1) PO납기일 기반 생산계획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강태희</dc:creator>
  <cp:lastModifiedBy>강태희</cp:lastModifiedBy>
  <dcterms:created xsi:type="dcterms:W3CDTF">2026-07-13T05:29:57Z</dcterms:created>
  <dcterms:modified xsi:type="dcterms:W3CDTF">2026-07-13T09:23:06Z</dcterms:modified>
</cp:coreProperties>
</file>